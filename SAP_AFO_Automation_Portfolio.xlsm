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io\Documents\More Documents\Github\Naadir-dev-portfolio\SAP-Analysis-for-Office-VBA-Automation\"/>
    </mc:Choice>
  </mc:AlternateContent>
  <xr:revisionPtr revIDLastSave="0" documentId="13_ncr:1_{A6E91A75-972E-4F28-BFDF-221FB10D31CB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Summary" sheetId="1" r:id="rId1"/>
    <sheet name="AFO Code Library" sheetId="2" r:id="rId2"/>
    <sheet name="Configuration" sheetId="3" r:id="rId3"/>
    <sheet name="Run History" sheetId="4" r:id="rId4"/>
    <sheet name="Performance Report" sheetId="5" r:id="rId5"/>
  </sheets>
  <functionGroups builtInGroupCount="19"/>
  <definedNames>
    <definedName name="afo_password">Configuration!$C$17</definedName>
    <definedName name="afo_username">Configuration!$C$16</definedName>
    <definedName name="_xlnm.Print_Area" localSheetId="1">'AFO Code Library'!$A$1:$N$48</definedName>
    <definedName name="_xlnm.Print_Area" localSheetId="2">Configuration!$A$1:$L$49</definedName>
    <definedName name="_xlnm.Print_Area" localSheetId="4">'Performance Report'!$A$1:$O$43</definedName>
    <definedName name="_xlnm.Print_Area" localSheetId="3">'Run History'!$A$1:$I$24</definedName>
    <definedName name="_xlnm.Print_Area" localSheetId="0">Summary!$A$1:$R$43</definedName>
    <definedName name="ReportIDs">Configuration!$C$21:$C$26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20" i="5" l="1"/>
  <c r="R20" i="5"/>
  <c r="S19" i="5"/>
  <c r="R19" i="5"/>
  <c r="S18" i="5"/>
  <c r="R18" i="5"/>
  <c r="S17" i="5"/>
  <c r="R17" i="5"/>
  <c r="S13" i="5"/>
  <c r="R13" i="5"/>
  <c r="S12" i="5"/>
  <c r="R12" i="5"/>
  <c r="S11" i="5"/>
  <c r="R11" i="5"/>
  <c r="S10" i="5"/>
  <c r="R10" i="5"/>
  <c r="S6" i="5"/>
  <c r="R6" i="5"/>
  <c r="S5" i="5"/>
  <c r="R5" i="5"/>
  <c r="S4" i="5"/>
  <c r="R4" i="5"/>
  <c r="S3" i="5"/>
  <c r="R3" i="5"/>
  <c r="F11" i="5"/>
  <c r="B11" i="5"/>
  <c r="I11" i="5" s="1"/>
  <c r="M11" i="5" s="1"/>
  <c r="I3" i="4"/>
  <c r="G3" i="4"/>
  <c r="E3" i="4"/>
  <c r="T21" i="1" a="1"/>
  <c r="T21" i="1" s="1"/>
  <c r="U21" i="1" s="1" a="1"/>
  <c r="U21" i="1" s="1"/>
  <c r="T20" i="1" a="1"/>
  <c r="T20" i="1" s="1"/>
  <c r="U20" i="1" s="1" a="1"/>
  <c r="U20" i="1" s="1"/>
  <c r="T19" i="1" a="1"/>
  <c r="T19" i="1" s="1"/>
  <c r="U19" i="1" s="1" a="1"/>
  <c r="U19" i="1" s="1"/>
  <c r="T18" i="1" a="1"/>
  <c r="T18" i="1" s="1"/>
  <c r="U18" i="1" s="1" a="1"/>
  <c r="U18" i="1" s="1"/>
  <c r="T17" i="1" a="1"/>
  <c r="T17" i="1" s="1"/>
  <c r="U17" i="1" s="1" a="1"/>
  <c r="U17" i="1" s="1"/>
  <c r="T16" i="1" a="1"/>
  <c r="T16" i="1" s="1"/>
  <c r="U16" i="1" s="1" a="1"/>
  <c r="U16" i="1" s="1"/>
  <c r="T15" i="1" a="1"/>
  <c r="T15" i="1" s="1"/>
  <c r="U15" i="1" s="1" a="1"/>
  <c r="U15" i="1" s="1"/>
  <c r="T14" i="1" a="1"/>
  <c r="T14" i="1" s="1"/>
  <c r="U14" i="1" s="1" a="1"/>
  <c r="U14" i="1" s="1"/>
  <c r="U9" i="1"/>
  <c r="U8" i="1"/>
  <c r="U7" i="1"/>
  <c r="U4" i="1"/>
  <c r="U3" i="1"/>
  <c r="K41" i="1"/>
  <c r="I41" i="1"/>
  <c r="G41" i="1"/>
  <c r="M23" i="1"/>
  <c r="K23" i="1"/>
  <c r="I23" i="1"/>
  <c r="G23" i="1"/>
  <c r="M31" i="1"/>
  <c r="L31" i="1"/>
  <c r="K31" i="1"/>
  <c r="J31" i="1"/>
  <c r="I31" i="1"/>
  <c r="H31" i="1"/>
  <c r="G31" i="1"/>
  <c r="M30" i="1"/>
  <c r="L30" i="1"/>
  <c r="K30" i="1"/>
  <c r="J30" i="1"/>
  <c r="I30" i="1"/>
  <c r="H30" i="1"/>
  <c r="G30" i="1"/>
  <c r="M29" i="1"/>
  <c r="L29" i="1"/>
  <c r="K29" i="1"/>
  <c r="J29" i="1"/>
  <c r="I29" i="1"/>
  <c r="H29" i="1"/>
  <c r="G29" i="1"/>
  <c r="M28" i="1"/>
  <c r="L28" i="1"/>
  <c r="K28" i="1"/>
  <c r="J28" i="1"/>
  <c r="I28" i="1"/>
  <c r="H28" i="1"/>
  <c r="G28" i="1"/>
  <c r="M27" i="1"/>
  <c r="L27" i="1"/>
  <c r="K27" i="1"/>
  <c r="J27" i="1"/>
  <c r="I27" i="1"/>
  <c r="H27" i="1"/>
  <c r="G27" i="1"/>
  <c r="M26" i="1"/>
  <c r="L26" i="1"/>
  <c r="K26" i="1"/>
  <c r="J26" i="1"/>
  <c r="I26" i="1"/>
  <c r="H26" i="1"/>
  <c r="G26" i="1"/>
  <c r="P20" i="1"/>
  <c r="M20" i="1"/>
  <c r="J20" i="1"/>
  <c r="G20" i="1"/>
  <c r="U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<sst xmlns="http://schemas.openxmlformats.org/spreadsheetml/2006/main" count="413" uniqueCount="256">
  <si>
    <t>SAP ANALYSIS FOR OFFICE  /  AUTOMATION SUMMARY</t>
  </si>
  <si>
    <t>RUN MODE</t>
  </si>
  <si>
    <t>SELECTED REPORT</t>
  </si>
  <si>
    <t>RPT001</t>
  </si>
  <si>
    <t>RUN CONTROL</t>
  </si>
  <si>
    <t>AUTOMATION STATUS</t>
  </si>
  <si>
    <t>BATCH PROGRESS</t>
  </si>
  <si>
    <t>ACTIVE REPORTS</t>
  </si>
  <si>
    <t>SUCCESSFUL</t>
  </si>
  <si>
    <t>WARNINGS</t>
  </si>
  <si>
    <t>FAILED</t>
  </si>
  <si>
    <t>REPORT QUEUE</t>
  </si>
  <si>
    <t>Report</t>
  </si>
  <si>
    <t>Name</t>
  </si>
  <si>
    <t>Data Source</t>
  </si>
  <si>
    <t>Status</t>
  </si>
  <si>
    <t>Progress</t>
  </si>
  <si>
    <t>Last Run</t>
  </si>
  <si>
    <t>Result</t>
  </si>
  <si>
    <t>3  REFRESH DATA</t>
  </si>
  <si>
    <t>RECENT ACTIVITY</t>
  </si>
  <si>
    <t>Time</t>
  </si>
  <si>
    <t>Action</t>
  </si>
  <si>
    <t>Duration</t>
  </si>
  <si>
    <t>Output</t>
  </si>
  <si>
    <t>Detail</t>
  </si>
  <si>
    <t>Refresh</t>
  </si>
  <si>
    <t>Success</t>
  </si>
  <si>
    <t>PDF / XLSX</t>
  </si>
  <si>
    <t>4  READ SOURCE INFO IN A CELL</t>
  </si>
  <si>
    <t>START HERE</t>
  </si>
  <si>
    <t>RPT004</t>
  </si>
  <si>
    <t>Warning</t>
  </si>
  <si>
    <t>PDF</t>
  </si>
  <si>
    <t>Prompt returned no rows</t>
  </si>
  <si>
    <t>RPT003</t>
  </si>
  <si>
    <t>RPT002</t>
  </si>
  <si>
    <t>AFO CODE LIBRARY</t>
  </si>
  <si>
    <t>START HERE
Alt+F11 &gt; modAFO_Core</t>
  </si>
  <si>
    <t>The small set of SAP calls and reusable date recipes worth keeping</t>
  </si>
  <si>
    <t>1  LOG ON TO AFO</t>
  </si>
  <si>
    <t>2  SET AN AFO PROMPT</t>
  </si>
  <si>
    <t>lResult = Application.Run("SAPSetFilter", _
    dataSourceAlias, variableName, _
    promptValue, "INPUT_STRING")</t>
  </si>
  <si>
    <t>lResult = Application.Run( _
    "SAPExecuteCommand", _
    "RefreshData", dataSourceAlias)</t>
  </si>
  <si>
    <t>Use technical variable names from the AFO Design Panel. Semicolon-separated values are supported.</t>
  </si>
  <si>
    <t>This is the essential refresh call. Omit the alias to refresh every data source.</t>
  </si>
  <si>
    <t>MINIMAL REFRESH MACRO  /  THE INTERVIEW VERSION</t>
  </si>
  <si>
    <t>=@SAPGetSourceInfo("DS_1", "DataSourceName")</t>
  </si>
  <si>
    <t>Sub Refresh_AFO()</t>
  </si>
  <si>
    <t>AFO worksheet formula. Replace DS_1 with the alias shown in the Analysis Design Panel.</t>
  </si>
  <si>
    <t>lResult = Application.Run("SAPExecuteCommand", "RefreshData")</t>
  </si>
  <si>
    <t>End Sub</t>
  </si>
  <si>
    <t>REUSABLE RECIPES</t>
  </si>
  <si>
    <t>Recipe</t>
  </si>
  <si>
    <t>Use it for</t>
  </si>
  <si>
    <t>Where it lives</t>
  </si>
  <si>
    <t>Returns</t>
  </si>
  <si>
    <t>Example</t>
  </si>
  <si>
    <t>PreviousCompleteWeeksDaily</t>
  </si>
  <si>
    <t>Every date in the previous 13 complete Monday-Sunday weeks</t>
  </si>
  <si>
    <t>modDatePrompts</t>
  </si>
  <si>
    <t>91 dates</t>
  </si>
  <si>
    <t>PreviousCompleteWeeksDaily(13)</t>
  </si>
  <si>
    <t>PreviousWeekWorkingDays</t>
  </si>
  <si>
    <t>One working day per week, adjusted for weekends and holidays</t>
  </si>
  <si>
    <t>13 dates</t>
  </si>
  <si>
    <t>PreviousWeekWorkingDays(13)</t>
  </si>
  <si>
    <t>CurrentFiscalYearDates</t>
  </si>
  <si>
    <t>Every date in an April-March fiscal year</t>
  </si>
  <si>
    <t>365/366 dates</t>
  </si>
  <si>
    <t>CurrentFiscalYearDates(Date, 4)</t>
  </si>
  <si>
    <t>FiscalMonthFirstWorkingDays</t>
  </si>
  <si>
    <t>First working day of each fiscal month</t>
  </si>
  <si>
    <t>12 dates</t>
  </si>
  <si>
    <t>FiscalMonthFirstWorkingDays(Date, 4)</t>
  </si>
  <si>
    <t>90-SECOND WALKTHROUGH</t>
  </si>
  <si>
    <t>01</t>
  </si>
  <si>
    <t>Select a report</t>
  </si>
  <si>
    <t>The Summary dropdown identifies the report row in tblReports.</t>
  </si>
  <si>
    <t>02</t>
  </si>
  <si>
    <t>Validate configuration</t>
  </si>
  <si>
    <t>The template checks mode, alias, report ID, prompt variables and relative export folder.</t>
  </si>
  <si>
    <t>03</t>
  </si>
  <si>
    <t>Log on</t>
  </si>
  <si>
    <t>AFO_Logon wraps SAPLogon and treats only return code 1 as success.</t>
  </si>
  <si>
    <t>04</t>
  </si>
  <si>
    <t>Apply prompts</t>
  </si>
  <si>
    <t>Each active row in tblPrompts becomes one SAPSetFilter call.</t>
  </si>
  <si>
    <t>05</t>
  </si>
  <si>
    <t>AFO_RefreshData calls SAPExecuteCommand with RefreshData.</t>
  </si>
  <si>
    <t>06</t>
  </si>
  <si>
    <t>Record and export</t>
  </si>
  <si>
    <t>The result is written to one run-history table and exported beside the workbook.</t>
  </si>
  <si>
    <t>CONFIGURATION</t>
  </si>
  <si>
    <t>PORTABLE BY DEFAULT
Exports use a folder relative to this workbook.
No absolute path is stored.</t>
  </si>
  <si>
    <t>Edit blue cells only. Technical aliases and variables come from the AFO Design Panel.</t>
  </si>
  <si>
    <t>WORKBOOK SETTINGS</t>
  </si>
  <si>
    <t>Setting</t>
  </si>
  <si>
    <t>Value</t>
  </si>
  <si>
    <t>Purpose</t>
  </si>
  <si>
    <t>Notes</t>
  </si>
  <si>
    <t>Mode</t>
  </si>
  <si>
    <t>SAP Client</t>
  </si>
  <si>
    <t>500</t>
  </si>
  <si>
    <t>SAP client</t>
  </si>
  <si>
    <t>Change for the target system</t>
  </si>
  <si>
    <t>Language</t>
  </si>
  <si>
    <t>EN</t>
  </si>
  <si>
    <t>Logon language</t>
  </si>
  <si>
    <t>Two-letter code</t>
  </si>
  <si>
    <t>Export Folder</t>
  </si>
  <si>
    <t>exports</t>
  </si>
  <si>
    <t>Relative folder</t>
  </si>
  <si>
    <t>Created beside this workbook</t>
  </si>
  <si>
    <t>Continue on Error</t>
  </si>
  <si>
    <t>Batch behavior</t>
  </si>
  <si>
    <t>Continue after one report fails</t>
  </si>
  <si>
    <t>REPORTS  /  ONE ROW PER AFO REPORT</t>
  </si>
  <si>
    <t>Active</t>
  </si>
  <si>
    <t>Report ID</t>
  </si>
  <si>
    <t>Report Name</t>
  </si>
  <si>
    <t>Target Sheet</t>
  </si>
  <si>
    <t>Export Formats</t>
  </si>
  <si>
    <t>Result Detail</t>
  </si>
  <si>
    <t>P&amp;L Actual vs Budget</t>
  </si>
  <si>
    <t>DS_1</t>
  </si>
  <si>
    <t>PDF,XLSX</t>
  </si>
  <si>
    <t>Balance Sheet</t>
  </si>
  <si>
    <t>DS_2</t>
  </si>
  <si>
    <t>Cash Flow</t>
  </si>
  <si>
    <t>DS_3</t>
  </si>
  <si>
    <t>Cost Centre Summary</t>
  </si>
  <si>
    <t>DS_4</t>
  </si>
  <si>
    <t>RPT005</t>
  </si>
  <si>
    <t>Top Customers</t>
  </si>
  <si>
    <t>DS_5</t>
  </si>
  <si>
    <t>RPT006</t>
  </si>
  <si>
    <t>Open Items</t>
  </si>
  <si>
    <t>DS_6</t>
  </si>
  <si>
    <t>XLSX</t>
  </si>
  <si>
    <t>Failed</t>
  </si>
  <si>
    <t>Not Run</t>
  </si>
  <si>
    <t>Inactive</t>
  </si>
  <si>
    <t>PROMPTS  /  EACH ACTIVE ROW BECOMES ONE SAPSetFilter CALL</t>
  </si>
  <si>
    <t>Parameter</t>
  </si>
  <si>
    <t>AFO Variable</t>
  </si>
  <si>
    <t>Rule</t>
  </si>
  <si>
    <t>Required</t>
  </si>
  <si>
    <t>Preview</t>
  </si>
  <si>
    <t>*</t>
  </si>
  <si>
    <t>Company Code</t>
  </si>
  <si>
    <t>P_COMP_CODE</t>
  </si>
  <si>
    <t>VALUE</t>
  </si>
  <si>
    <t>1000</t>
  </si>
  <si>
    <t>Fiscal Year</t>
  </si>
  <si>
    <t>P_FISCYEAR</t>
  </si>
  <si>
    <t>2026</t>
  </si>
  <si>
    <t>Fiscal Period</t>
  </si>
  <si>
    <t>P_FISCPER</t>
  </si>
  <si>
    <t>005</t>
  </si>
  <si>
    <t>Currency</t>
  </si>
  <si>
    <t>P_CURRENCY</t>
  </si>
  <si>
    <t>GBP</t>
  </si>
  <si>
    <t>Rolling 13 Weeks</t>
  </si>
  <si>
    <t>0CALDAY</t>
  </si>
  <si>
    <t>LAST_13_WEEKS</t>
  </si>
  <si>
    <t>Generated at run time</t>
  </si>
  <si>
    <t>Fiscal Year Dates</t>
  </si>
  <si>
    <t>FY_DAILY</t>
  </si>
  <si>
    <t>Fiscal Month Starts</t>
  </si>
  <si>
    <t>FY_MONTH_STARTS</t>
  </si>
  <si>
    <t>PATH RULE
The code combines ThisWorkbook.Path with the Export Folder setting. Drive letters, UNC paths and '..' are rejected so the project stays portable when cloned or shared.</t>
  </si>
  <si>
    <t>Date</t>
  </si>
  <si>
    <t>Holiday</t>
  </si>
  <si>
    <t>New Year's Day</t>
  </si>
  <si>
    <t>Good Friday</t>
  </si>
  <si>
    <t>Easter Monday</t>
  </si>
  <si>
    <t>Early May bank holiday</t>
  </si>
  <si>
    <t>Spring bank holiday</t>
  </si>
  <si>
    <t>Summer bank holiday</t>
  </si>
  <si>
    <t>Christmas Day</t>
  </si>
  <si>
    <t>Boxing Day substitute</t>
  </si>
  <si>
    <t>RUN HISTORY</t>
  </si>
  <si>
    <t>One append-only audit table for refreshes, validation and exports</t>
  </si>
  <si>
    <t>Timestamp</t>
  </si>
  <si>
    <t>Duration (s)</t>
  </si>
  <si>
    <t>Validate</t>
  </si>
  <si>
    <t>Configuration passed</t>
  </si>
  <si>
    <t>The workbook intentionally uses one history table instead of separate run, export and system-check sheets. Validation and export events are logged here with the same structure as refresh events.</t>
  </si>
  <si>
    <t>DATA SOURCE</t>
  </si>
  <si>
    <t>VARIANCE</t>
  </si>
  <si>
    <t>VARIANCE %</t>
  </si>
  <si>
    <t>Business Unit</t>
  </si>
  <si>
    <t>Account Group</t>
  </si>
  <si>
    <t>Actual</t>
  </si>
  <si>
    <t>Budget</t>
  </si>
  <si>
    <t>Variance</t>
  </si>
  <si>
    <t>Variance %</t>
  </si>
  <si>
    <t>Consumer</t>
  </si>
  <si>
    <t>Revenue</t>
  </si>
  <si>
    <t>Enterprise</t>
  </si>
  <si>
    <t>Public Sector</t>
  </si>
  <si>
    <t>International</t>
  </si>
  <si>
    <t>Operating Cost</t>
  </si>
  <si>
    <t>11.05.2026; 12.05.2026; 13.05.2026; 14.05.2026; 15.05.2026; 16.05.2...</t>
  </si>
  <si>
    <t>▤</t>
  </si>
  <si>
    <t>✓</t>
  </si>
  <si>
    <t>△</t>
  </si>
  <si>
    <t>!</t>
  </si>
  <si>
    <t>Reset</t>
  </si>
  <si>
    <t>Export</t>
  </si>
  <si>
    <t>Export completed</t>
  </si>
  <si>
    <t>Batch</t>
  </si>
  <si>
    <t>4 successful / 1 warning / 0 failed</t>
  </si>
  <si>
    <t>COMPLETED</t>
  </si>
  <si>
    <t>Active batch finished</t>
  </si>
  <si>
    <t>OPERATIONS HEALTH</t>
  </si>
  <si>
    <t>SIMULATION</t>
  </si>
  <si>
    <t>SIMULATION or LIVE</t>
  </si>
  <si>
    <t>SIMULATION never calls SAP</t>
  </si>
  <si>
    <t>Simulation Result</t>
  </si>
  <si>
    <t>Performance Report</t>
  </si>
  <si>
    <t>Refresh completed</t>
  </si>
  <si>
    <t>Workspace reset</t>
  </si>
  <si>
    <t>Enterprise automation for refresh, prompt, batch and export workflows</t>
  </si>
  <si>
    <t>REPORTS AUTOMATED</t>
  </si>
  <si>
    <t>SUCCESS RATE</t>
  </si>
  <si>
    <t>AVG DURATION</t>
  </si>
  <si>
    <t>AFO AUTOMATION WORKSPACE  |  REPORTING OPERATIONS</t>
  </si>
  <si>
    <t>BANK HOLIDAYS</t>
  </si>
  <si>
    <t>TOTAL EVENTS</t>
  </si>
  <si>
    <t>AVG SEC</t>
  </si>
  <si>
    <t>Actual, budget and variance performance by business unit</t>
  </si>
  <si>
    <t>ACTUAL REVENUE</t>
  </si>
  <si>
    <t>BUDGET REVENUE</t>
  </si>
  <si>
    <t>TOP CUSTOMERS</t>
  </si>
  <si>
    <t>SAP Username</t>
  </si>
  <si>
    <t>SAP logon username</t>
  </si>
  <si>
    <t>Used by SAPLogon in LIVE mode</t>
  </si>
  <si>
    <t>SAP Password</t>
  </si>
  <si>
    <t>SAP logon password</t>
  </si>
  <si>
    <t>Dim lResult As Long, userName As String, password As String</t>
  </si>
  <si>
    <t>userName = ThisWorkbook.Worksheets("Configuration").Range("C16").Value</t>
  </si>
  <si>
    <t>password = ThisWorkbook.Worksheets("Configuration").Range("C17").Value</t>
  </si>
  <si>
    <t>lResult = Application.Run("SAPLogon", "DS_1", "500", userName, password)</t>
  </si>
  <si>
    <t>DoEvents</t>
  </si>
  <si>
    <t>If lResult &lt;&gt; 1 Then MsgBox "AFO refresh failed.", vbCritical</t>
  </si>
  <si>
    <t>SAP_USERNAME</t>
  </si>
  <si>
    <t>SAP_PASSWORD</t>
  </si>
  <si>
    <t>lResult = Application.Run("SAPLogon", "DS_1", "500", _
    userName, password)</t>
  </si>
  <si>
    <t>The complete macro below reads username and password from Configuration immediately above the SAPLogon call.</t>
  </si>
  <si>
    <t>LIVE MODE
Enter the SAP Username and SAP Password in Workbook Settings, confirm each alias and variable in the AFO Design Panel, then change Mode to LIVE.</t>
  </si>
  <si>
    <r>
      <t>This template was created by</t>
    </r>
    <r>
      <rPr>
        <b/>
        <sz val="9"/>
        <color rgb="FF8EA9C1"/>
        <rFont val="Aptos"/>
        <family val="2"/>
      </rPr>
      <t xml:space="preserve"> Naadir</t>
    </r>
  </si>
  <si>
    <t>https://naadir-dev-portfolio.github.io/</t>
  </si>
  <si>
    <t>Generated operational snapshot | https://naadir-dev-portfolio.github.io/</t>
  </si>
  <si>
    <t>This workbook reads table-driven aliases and prompts, calls the three AFO VBA APIs, checks the return code, then logs and exports the result. Simulation mode preserves the workflow when SAP is unavailable.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</si>
</sst>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d\-mmm\-yyyy\ hh:mm"/>
    <numFmt numFmtId="165" formatCode="0.0\ &quot;s&quot;"/>
    <numFmt numFmtId="166" formatCode="dd\-mmm\-yyyy"/>
    <numFmt numFmtId="167" formatCode="dd\-mmm\-yyyy\ hh:mm:ss"/>
    <numFmt numFmtId="168" formatCode="0.0"/>
    <numFmt numFmtId="169" formatCode="&quot;GBP &quot;#,##0"/>
    <numFmt numFmtId="170" formatCode="0.0%"/>
    <numFmt numFmtId="171" formatCode="&quot;GBP &quot;#,##0;[Red]\-&quot;GBP &quot;#,##0"/>
    <numFmt numFmtId="172" formatCode="0.0%;[Red]\-0.0%"/>
    <numFmt numFmtId="173" formatCode="dd\-mmm\ hh:mm"/>
    <numFmt numFmtId="174" formatCode="hh:mm"/>
  </numFmts>
  <fonts count="63">
    <font>
      <sz val="11"/>
      <name val="Carlito"/>
    </font>
    <font>
      <sz val="10"/>
      <color rgb="FF102A43"/>
      <name val="Aptos"/>
    </font>
    <font>
      <b/>
      <sz val="10"/>
      <color rgb="FFFFFFFF"/>
      <name val="Aptos Display"/>
      <family val="2"/>
    </font>
    <font>
      <b/>
      <sz val="10"/>
      <color rgb="FFFFFFFF"/>
      <name val="Aptos"/>
      <family val="2"/>
    </font>
    <font>
      <sz val="10"/>
      <color rgb="FFD8E7F5"/>
      <name val="Aptos"/>
      <family val="2"/>
    </font>
    <font>
      <b/>
      <sz val="22"/>
      <color rgb="FFD8E7F5"/>
      <name val="Aptos"/>
      <family val="2"/>
    </font>
    <font>
      <b/>
      <sz val="8"/>
      <color rgb="FFD8E7F5"/>
      <name val="Aptos"/>
      <family val="2"/>
    </font>
    <font>
      <b/>
      <sz val="14"/>
      <color rgb="FFD8E7F5"/>
      <name val="Aptos"/>
      <family val="2"/>
    </font>
    <font>
      <b/>
      <sz val="10"/>
      <color rgb="FFD8E7F5"/>
      <name val="Aptos"/>
      <family val="2"/>
    </font>
    <font>
      <b/>
      <sz val="26"/>
      <color rgb="FFD8E7F5"/>
      <name val="Aptos"/>
      <family val="2"/>
    </font>
    <font>
      <b/>
      <sz val="24"/>
      <color rgb="FFD8E7F5"/>
      <name val="Aptos"/>
      <family val="2"/>
    </font>
    <font>
      <sz val="9"/>
      <color rgb="FFD8E7F5"/>
      <name val="Aptos"/>
      <family val="2"/>
    </font>
    <font>
      <b/>
      <sz val="23"/>
      <color rgb="FFD8E7F5"/>
      <name val="Aptos"/>
      <family val="2"/>
    </font>
    <font>
      <sz val="11"/>
      <color rgb="FFD8E7F5"/>
      <name val="Aptos"/>
      <family val="2"/>
    </font>
    <font>
      <sz val="8"/>
      <color rgb="FFD8E7F5"/>
      <name val="Aptos"/>
      <family val="2"/>
    </font>
    <font>
      <b/>
      <sz val="9"/>
      <color rgb="FFD8E7F5"/>
      <name val="Aptos"/>
      <family val="2"/>
    </font>
    <font>
      <sz val="9"/>
      <color rgb="FF8EA9C1"/>
      <name val="Aptos"/>
      <family val="2"/>
    </font>
    <font>
      <b/>
      <sz val="8"/>
      <color rgb="FF8EA9C1"/>
      <name val="Aptos"/>
      <family val="2"/>
    </font>
    <font>
      <b/>
      <sz val="13"/>
      <color rgb="FFFFFFFF"/>
      <name val="Aptos"/>
      <family val="2"/>
    </font>
    <font>
      <b/>
      <sz val="10"/>
      <color rgb="FF20C5F5"/>
      <name val="Aptos Display"/>
      <family val="2"/>
    </font>
    <font>
      <b/>
      <sz val="26"/>
      <color rgb="FF8EA9C1"/>
      <name val="Aptos"/>
      <family val="2"/>
    </font>
    <font>
      <b/>
      <sz val="20"/>
      <color rgb="FF2ED47A"/>
      <name val="Aptos"/>
      <family val="2"/>
    </font>
    <font>
      <sz val="10"/>
      <color rgb="FF8EA9C1"/>
      <name val="Aptos"/>
      <family val="2"/>
    </font>
    <font>
      <b/>
      <sz val="20"/>
      <color rgb="FFFFFFFF"/>
      <name val="Aptos"/>
      <family val="2"/>
    </font>
    <font>
      <b/>
      <sz val="12"/>
      <color rgb="FF70C8FF"/>
      <name val="Aptos"/>
      <family val="2"/>
    </font>
    <font>
      <b/>
      <sz val="8"/>
      <color rgb="FF70C8FF"/>
      <name val="Aptos"/>
      <family val="2"/>
    </font>
    <font>
      <b/>
      <sz val="12"/>
      <color rgb="FF2ED47A"/>
      <name val="Aptos"/>
      <family val="2"/>
    </font>
    <font>
      <b/>
      <sz val="8"/>
      <color rgb="FF2ED47A"/>
      <name val="Aptos"/>
      <family val="2"/>
    </font>
    <font>
      <b/>
      <sz val="12"/>
      <color rgb="FFF7B731"/>
      <name val="Aptos"/>
      <family val="2"/>
    </font>
    <font>
      <b/>
      <sz val="8"/>
      <color rgb="FFF7B731"/>
      <name val="Aptos"/>
      <family val="2"/>
    </font>
    <font>
      <b/>
      <sz val="12"/>
      <color rgb="FFF06478"/>
      <name val="Aptos"/>
      <family val="2"/>
    </font>
    <font>
      <b/>
      <sz val="8"/>
      <color rgb="FFF06478"/>
      <name val="Aptos"/>
      <family val="2"/>
    </font>
    <font>
      <b/>
      <sz val="20"/>
      <color rgb="FF70C8FF"/>
      <name val="Aptos"/>
      <family val="2"/>
    </font>
    <font>
      <b/>
      <sz val="20"/>
      <color rgb="FFF7B731"/>
      <name val="Aptos"/>
      <family val="2"/>
    </font>
    <font>
      <b/>
      <sz val="20"/>
      <color rgb="FFF06478"/>
      <name val="Aptos"/>
      <family val="2"/>
    </font>
    <font>
      <b/>
      <sz val="7.5"/>
      <color rgb="FF8EA9C1"/>
      <name val="Aptos"/>
      <family val="2"/>
    </font>
    <font>
      <b/>
      <sz val="16"/>
      <color rgb="FF70C8FF"/>
      <name val="Aptos"/>
      <family val="2"/>
    </font>
    <font>
      <b/>
      <sz val="8"/>
      <color rgb="FF20C5F5"/>
      <name val="Aptos"/>
      <family val="2"/>
    </font>
    <font>
      <b/>
      <sz val="8"/>
      <color rgb="FFFFFFFF"/>
      <name val="Aptos"/>
      <family val="2"/>
    </font>
    <font>
      <sz val="8"/>
      <color rgb="FFD8E7F5"/>
      <name val="Consolas"/>
      <family val="3"/>
    </font>
    <font>
      <sz val="10"/>
      <color rgb="FFD8E7F5"/>
      <name val="Consolas"/>
      <family val="3"/>
    </font>
    <font>
      <b/>
      <sz val="8"/>
      <color rgb="FFD8E7F5"/>
      <name val="Consolas"/>
      <family val="3"/>
    </font>
    <font>
      <sz val="9"/>
      <color rgb="FFD8E7F5"/>
      <name val="Consolas"/>
      <family val="3"/>
    </font>
    <font>
      <sz val="8"/>
      <color rgb="FF70C8FF"/>
      <name val="Aptos"/>
      <family val="2"/>
    </font>
    <font>
      <sz val="10"/>
      <color rgb="FF70C8FF"/>
      <name val="Aptos"/>
      <family val="2"/>
    </font>
    <font>
      <b/>
      <sz val="11"/>
      <color rgb="FF20C5F5"/>
      <name val="Aptos"/>
      <family val="2"/>
    </font>
    <font>
      <b/>
      <sz val="11"/>
      <color rgb="FF70C8FF"/>
      <name val="Aptos"/>
      <family val="2"/>
    </font>
    <font>
      <b/>
      <sz val="9"/>
      <color rgb="FFFFFFFF"/>
      <name val="Aptos"/>
      <family val="2"/>
    </font>
    <font>
      <b/>
      <sz val="9"/>
      <color rgb="FF70C8FF"/>
      <name val="Aptos"/>
      <family val="2"/>
    </font>
    <font>
      <sz val="8.5"/>
      <color rgb="FFD8E7F5"/>
      <name val="Aptos"/>
      <family val="2"/>
    </font>
    <font>
      <sz val="8.5"/>
      <color rgb="FF70C8FF"/>
      <name val="Aptos"/>
      <family val="2"/>
    </font>
    <font>
      <b/>
      <sz val="8.5"/>
      <color rgb="FF70C8FF"/>
      <name val="Aptos"/>
      <family val="2"/>
    </font>
    <font>
      <b/>
      <sz val="9"/>
      <color rgb="FFF7B731"/>
      <name val="Aptos"/>
      <family val="2"/>
    </font>
    <font>
      <b/>
      <sz val="12"/>
      <color rgb="FFFFFFFF"/>
      <name val="Aptos"/>
      <family val="2"/>
    </font>
    <font>
      <b/>
      <sz val="17"/>
      <color rgb="FF70C8FF"/>
      <name val="Aptos"/>
      <family val="2"/>
    </font>
    <font>
      <b/>
      <sz val="17"/>
      <color rgb="FFFFFFFF"/>
      <name val="Aptos"/>
      <family val="2"/>
    </font>
    <font>
      <b/>
      <sz val="17"/>
      <color rgb="FF2ED47A"/>
      <name val="Aptos"/>
      <family val="2"/>
    </font>
    <font>
      <sz val="8"/>
      <color rgb="FF8EA9C1"/>
      <name val="Aptos"/>
      <family val="2"/>
    </font>
    <font>
      <b/>
      <sz val="20"/>
      <color rgb="FF1F9D55"/>
      <name val="Aptos"/>
      <family val="2"/>
    </font>
    <font>
      <sz val="7.5"/>
      <color rgb="FFD8E7F5"/>
      <name val="Consolas"/>
      <family val="3"/>
    </font>
    <font>
      <b/>
      <sz val="9"/>
      <color rgb="FF8EA9C1"/>
      <name val="Aptos"/>
      <family val="2"/>
    </font>
    <font>
      <u/>
      <sz val="11"/>
      <color theme="10"/>
      <name val="Carlito"/>
    </font>
    <font>
      <b/>
      <sz val="20"/>
      <color rgb="FFFFFFFF"/>
      <name val="Aptos Display"/>
      <family val="2"/>
    </font>
  </fonts>
  <fills count="24">
    <fill>
      <patternFill patternType="none"/>
    </fill>
    <fill>
      <patternFill patternType="gray125"/>
    </fill>
    <fill>
      <patternFill patternType="solid">
        <fgColor rgb="FFF4F7FA"/>
      </patternFill>
    </fill>
    <fill>
      <patternFill patternType="solid">
        <fgColor rgb="FF061524"/>
        <bgColor indexed="64"/>
      </patternFill>
    </fill>
    <fill>
      <patternFill patternType="solid">
        <fgColor rgb="FF071B2E"/>
        <bgColor indexed="64"/>
      </patternFill>
    </fill>
    <fill>
      <patternFill patternType="solid">
        <fgColor rgb="FF20C5F5"/>
        <bgColor indexed="64"/>
      </patternFill>
    </fill>
    <fill>
      <patternFill patternType="solid">
        <fgColor rgb="FF163A5C"/>
        <bgColor indexed="64"/>
      </patternFill>
    </fill>
    <fill>
      <patternFill patternType="solid">
        <fgColor rgb="FF102C48"/>
        <bgColor indexed="64"/>
      </patternFill>
    </fill>
    <fill>
      <patternFill patternType="solid">
        <fgColor rgb="FF0B2238"/>
        <bgColor indexed="64"/>
      </patternFill>
    </fill>
    <fill>
      <patternFill patternType="solid">
        <fgColor rgb="FF0C3A2C"/>
        <bgColor indexed="64"/>
      </patternFill>
    </fill>
    <fill>
      <patternFill patternType="solid">
        <fgColor rgb="FF0C3153"/>
        <bgColor indexed="64"/>
      </patternFill>
    </fill>
    <fill>
      <patternFill patternType="solid">
        <fgColor rgb="FF3B3009"/>
        <bgColor indexed="64"/>
      </patternFill>
    </fill>
    <fill>
      <patternFill patternType="solid">
        <fgColor rgb="FFCFEAFB"/>
        <bgColor indexed="64"/>
      </patternFill>
    </fill>
    <fill>
      <patternFill patternType="solid">
        <fgColor rgb="FFB8E1F7"/>
        <bgColor indexed="64"/>
      </patternFill>
    </fill>
    <fill>
      <patternFill patternType="solid">
        <fgColor rgb="FF9FD8F3"/>
        <bgColor indexed="64"/>
      </patternFill>
    </fill>
    <fill>
      <patternFill patternType="solid">
        <fgColor rgb="FF84CFEE"/>
        <bgColor indexed="64"/>
      </patternFill>
    </fill>
    <fill>
      <patternFill patternType="solid">
        <fgColor rgb="FF67C4EA"/>
        <bgColor indexed="64"/>
      </patternFill>
    </fill>
    <fill>
      <patternFill patternType="solid">
        <fgColor rgb="FF49B8E4"/>
        <bgColor indexed="64"/>
      </patternFill>
    </fill>
    <fill>
      <patternFill patternType="solid">
        <fgColor rgb="FF25ACDE"/>
        <bgColor indexed="64"/>
      </patternFill>
    </fill>
    <fill>
      <patternFill patternType="solid">
        <fgColor rgb="FF0A9ED7"/>
        <bgColor indexed="64"/>
      </patternFill>
    </fill>
    <fill>
      <patternFill patternType="solid">
        <fgColor rgb="FF078CC9"/>
        <bgColor indexed="64"/>
      </patternFill>
    </fill>
    <fill>
      <patternFill patternType="solid">
        <fgColor rgb="FF087BBC"/>
        <bgColor indexed="64"/>
      </patternFill>
    </fill>
    <fill>
      <patternFill patternType="solid">
        <fgColor rgb="FF096AAD"/>
        <bgColor indexed="64"/>
      </patternFill>
    </fill>
    <fill>
      <patternFill patternType="solid">
        <fgColor rgb="FF0A599F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rgb="FF4DA3E5"/>
      </bottom>
      <diagonal/>
    </border>
    <border>
      <left style="thin">
        <color rgb="FFBBDCF3"/>
      </left>
      <right/>
      <top style="thin">
        <color rgb="FFBBDCF3"/>
      </top>
      <bottom/>
      <diagonal/>
    </border>
    <border>
      <left/>
      <right/>
      <top style="thin">
        <color rgb="FFBBDCF3"/>
      </top>
      <bottom/>
      <diagonal/>
    </border>
    <border>
      <left/>
      <right style="thin">
        <color rgb="FFBBDCF3"/>
      </right>
      <top style="thin">
        <color rgb="FFBBDCF3"/>
      </top>
      <bottom/>
      <diagonal/>
    </border>
    <border>
      <left style="thin">
        <color rgb="FFBBDCF3"/>
      </left>
      <right/>
      <top/>
      <bottom style="thin">
        <color rgb="FFBBDCF3"/>
      </bottom>
      <diagonal/>
    </border>
    <border>
      <left/>
      <right/>
      <top/>
      <bottom style="thin">
        <color rgb="FFBBDCF3"/>
      </bottom>
      <diagonal/>
    </border>
    <border>
      <left/>
      <right style="thin">
        <color rgb="FFBBDCF3"/>
      </right>
      <top/>
      <bottom style="thin">
        <color rgb="FFBBDCF3"/>
      </bottom>
      <diagonal/>
    </border>
    <border>
      <left style="thin">
        <color rgb="FFBBDCF3"/>
      </left>
      <right/>
      <top/>
      <bottom/>
      <diagonal/>
    </border>
    <border>
      <left/>
      <right style="thin">
        <color rgb="FFBBDCF3"/>
      </right>
      <top/>
      <bottom/>
      <diagonal/>
    </border>
    <border>
      <left style="thin">
        <color rgb="FF1D5C86"/>
      </left>
      <right style="thin">
        <color rgb="FF1D5C86"/>
      </right>
      <top style="thin">
        <color rgb="FF1D5C86"/>
      </top>
      <bottom style="thin">
        <color rgb="FF1D5C86"/>
      </bottom>
      <diagonal/>
    </border>
    <border>
      <left style="thin">
        <color rgb="FF1D5C86"/>
      </left>
      <right/>
      <top style="thin">
        <color rgb="FF1D5C86"/>
      </top>
      <bottom style="thin">
        <color rgb="FF1D5C86"/>
      </bottom>
      <diagonal/>
    </border>
    <border>
      <left/>
      <right/>
      <top style="thin">
        <color rgb="FF1D5C86"/>
      </top>
      <bottom style="thin">
        <color rgb="FF1D5C86"/>
      </bottom>
      <diagonal/>
    </border>
    <border>
      <left/>
      <right style="thin">
        <color rgb="FF1D5C86"/>
      </right>
      <top style="thin">
        <color rgb="FF1D5C86"/>
      </top>
      <bottom style="thin">
        <color rgb="FF1D5C86"/>
      </bottom>
      <diagonal/>
    </border>
    <border>
      <left style="thin">
        <color rgb="FF173A57"/>
      </left>
      <right style="thin">
        <color rgb="FF173A57"/>
      </right>
      <top style="thin">
        <color rgb="FF173A57"/>
      </top>
      <bottom style="thin">
        <color rgb="FF173A57"/>
      </bottom>
      <diagonal/>
    </border>
    <border>
      <left style="thin">
        <color rgb="FFF7B731"/>
      </left>
      <right style="thin">
        <color rgb="FFF7B731"/>
      </right>
      <top style="thin">
        <color rgb="FFF7B731"/>
      </top>
      <bottom style="thin">
        <color rgb="FFF7B731"/>
      </bottom>
      <diagonal/>
    </border>
    <border>
      <left style="thin">
        <color rgb="FF1D5C86"/>
      </left>
      <right/>
      <top style="thin">
        <color rgb="FF1D5C86"/>
      </top>
      <bottom/>
      <diagonal/>
    </border>
    <border>
      <left/>
      <right/>
      <top style="thin">
        <color rgb="FF1D5C86"/>
      </top>
      <bottom/>
      <diagonal/>
    </border>
    <border>
      <left/>
      <right style="thin">
        <color rgb="FF1D5C86"/>
      </right>
      <top style="thin">
        <color rgb="FF1D5C86"/>
      </top>
      <bottom/>
      <diagonal/>
    </border>
    <border>
      <left style="thin">
        <color rgb="FF1D5C86"/>
      </left>
      <right/>
      <top/>
      <bottom/>
      <diagonal/>
    </border>
    <border>
      <left/>
      <right style="thin">
        <color rgb="FF1D5C86"/>
      </right>
      <top/>
      <bottom/>
      <diagonal/>
    </border>
    <border>
      <left style="thin">
        <color rgb="FF1D5C86"/>
      </left>
      <right/>
      <top/>
      <bottom style="thin">
        <color rgb="FF1D5C86"/>
      </bottom>
      <diagonal/>
    </border>
    <border>
      <left/>
      <right/>
      <top/>
      <bottom style="thin">
        <color rgb="FF1D5C86"/>
      </bottom>
      <diagonal/>
    </border>
    <border>
      <left/>
      <right style="thin">
        <color rgb="FF1D5C86"/>
      </right>
      <top/>
      <bottom style="thin">
        <color rgb="FF1D5C8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196">
    <xf numFmtId="0" fontId="0" fillId="0" borderId="0" xfId="0"/>
    <xf numFmtId="0" fontId="1" fillId="2" borderId="0" xfId="0" applyNumberFormat="1" applyFont="1" applyFill="1" applyBorder="1" applyAlignment="1">
      <alignment vertical="center"/>
    </xf>
    <xf numFmtId="0" fontId="4" fillId="3" borderId="0" xfId="0" applyNumberFormat="1" applyFont="1" applyFill="1" applyBorder="1" applyAlignment="1">
      <alignment vertical="center"/>
    </xf>
    <xf numFmtId="0" fontId="4" fillId="4" borderId="0" xfId="0" applyNumberFormat="1" applyFont="1" applyFill="1" applyBorder="1" applyAlignment="1">
      <alignment vertical="center"/>
    </xf>
    <xf numFmtId="0" fontId="4" fillId="5" borderId="0" xfId="0" applyNumberFormat="1" applyFont="1" applyFill="1" applyBorder="1" applyAlignment="1">
      <alignment vertical="center"/>
    </xf>
    <xf numFmtId="0" fontId="5" fillId="4" borderId="0" xfId="0" applyNumberFormat="1" applyFont="1" applyFill="1" applyBorder="1" applyAlignment="1">
      <alignment horizontal="left" vertical="center"/>
    </xf>
    <xf numFmtId="0" fontId="4" fillId="4" borderId="0" xfId="0" applyNumberFormat="1" applyFont="1" applyFill="1" applyBorder="1" applyAlignment="1">
      <alignment horizontal="left" vertical="center"/>
    </xf>
    <xf numFmtId="0" fontId="7" fillId="4" borderId="1" xfId="0" applyNumberFormat="1" applyFont="1" applyFill="1" applyBorder="1" applyAlignment="1">
      <alignment horizontal="center" vertical="center"/>
    </xf>
    <xf numFmtId="0" fontId="17" fillId="10" borderId="14" xfId="0" applyNumberFormat="1" applyFont="1" applyFill="1" applyBorder="1" applyAlignment="1">
      <alignment vertical="center"/>
    </xf>
    <xf numFmtId="20" fontId="0" fillId="0" borderId="0" xfId="0" applyNumberFormat="1"/>
    <xf numFmtId="0" fontId="22" fillId="4" borderId="0" xfId="0" applyNumberFormat="1" applyFont="1" applyFill="1" applyBorder="1" applyAlignment="1">
      <alignment vertical="center"/>
    </xf>
    <xf numFmtId="0" fontId="25" fillId="8" borderId="14" xfId="0" applyNumberFormat="1" applyFont="1" applyFill="1" applyBorder="1" applyAlignment="1">
      <alignment vertical="center" wrapText="1"/>
    </xf>
    <xf numFmtId="0" fontId="45" fillId="10" borderId="14" xfId="0" applyNumberFormat="1" applyFont="1" applyFill="1" applyBorder="1" applyAlignment="1">
      <alignment horizontal="center" vertical="center"/>
    </xf>
    <xf numFmtId="0" fontId="17" fillId="10" borderId="10" xfId="0" applyNumberFormat="1" applyFont="1" applyFill="1" applyBorder="1" applyAlignment="1">
      <alignment vertical="center"/>
    </xf>
    <xf numFmtId="0" fontId="11" fillId="8" borderId="14" xfId="0" applyNumberFormat="1" applyFont="1" applyFill="1" applyBorder="1" applyAlignment="1">
      <alignment vertical="center"/>
    </xf>
    <xf numFmtId="0" fontId="48" fillId="10" borderId="14" xfId="0" applyNumberFormat="1" applyFont="1" applyFill="1" applyBorder="1" applyAlignment="1">
      <alignment vertical="center"/>
    </xf>
    <xf numFmtId="0" fontId="48" fillId="10" borderId="14" xfId="0" applyNumberFormat="1" applyFont="1" applyFill="1" applyBorder="1" applyAlignment="1">
      <alignment vertical="center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8" fillId="3" borderId="0" xfId="0" applyNumberFormat="1" applyFont="1" applyFill="1" applyBorder="1" applyAlignment="1">
      <alignment horizontal="left" vertical="center"/>
    </xf>
    <xf numFmtId="0" fontId="38" fillId="10" borderId="10" xfId="0" applyNumberFormat="1" applyFont="1" applyFill="1" applyBorder="1" applyAlignment="1">
      <alignment vertical="center" wrapText="1"/>
    </xf>
    <xf numFmtId="0" fontId="49" fillId="8" borderId="14" xfId="0" applyNumberFormat="1" applyFont="1" applyFill="1" applyBorder="1" applyAlignment="1">
      <alignment vertical="center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49" fillId="8" borderId="14" xfId="0" applyNumberFormat="1" applyFont="1" applyFill="1" applyBorder="1" applyAlignment="1">
      <alignment vertical="center" wrapText="1"/>
    </xf>
    <xf numFmtId="9" fontId="49" fillId="8" borderId="14" xfId="0" applyNumberFormat="1" applyFont="1" applyFill="1" applyBorder="1" applyAlignment="1">
      <alignment vertical="center" wrapText="1"/>
    </xf>
    <xf numFmtId="173" fontId="49" fillId="8" borderId="14" xfId="0" applyNumberFormat="1" applyFont="1" applyFill="1" applyBorder="1" applyAlignment="1">
      <alignment horizontal="right" vertical="center" wrapText="1"/>
    </xf>
    <xf numFmtId="0" fontId="49" fillId="8" borderId="14" xfId="0" applyNumberFormat="1" applyFont="1" applyFill="1" applyBorder="1" applyAlignment="1">
      <alignment horizontal="left" vertical="center" wrapText="1"/>
    </xf>
    <xf numFmtId="0" fontId="49" fillId="7" borderId="14" xfId="0" applyNumberFormat="1" applyFont="1" applyFill="1" applyBorder="1" applyAlignment="1">
      <alignment vertical="center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49" fillId="7" borderId="14" xfId="0" applyNumberFormat="1" applyFont="1" applyFill="1" applyBorder="1" applyAlignment="1">
      <alignment vertical="center" wrapText="1"/>
    </xf>
    <xf numFmtId="9" fontId="49" fillId="7" borderId="14" xfId="0" applyNumberFormat="1" applyFont="1" applyFill="1" applyBorder="1" applyAlignment="1">
      <alignment vertical="center" wrapText="1"/>
    </xf>
    <xf numFmtId="173" fontId="49" fillId="7" borderId="14" xfId="0" applyNumberFormat="1" applyFont="1" applyFill="1" applyBorder="1" applyAlignment="1">
      <alignment horizontal="right" vertical="center" wrapText="1"/>
    </xf>
    <xf numFmtId="0" fontId="49" fillId="7" borderId="14" xfId="0" applyNumberFormat="1" applyFont="1" applyFill="1" applyBorder="1" applyAlignment="1">
      <alignment horizontal="left" vertical="center" wrapText="1"/>
    </xf>
    <xf numFmtId="0" fontId="51" fillId="8" borderId="14" xfId="0" applyNumberFormat="1" applyFont="1" applyFill="1" applyBorder="1" applyAlignment="1">
      <alignment vertical="center" wrapText="1"/>
    </xf>
    <xf numFmtId="0" fontId="51" fillId="7" borderId="14" xfId="0" applyNumberFormat="1" applyFont="1" applyFill="1" applyBorder="1" applyAlignment="1">
      <alignment vertical="center" wrapText="1"/>
    </xf>
    <xf numFmtId="49" fontId="49" fillId="8" borderId="14" xfId="0" applyNumberFormat="1" applyFont="1" applyFill="1" applyBorder="1" applyAlignment="1">
      <alignment vertical="center" wrapText="1"/>
    </xf>
    <xf numFmtId="49" fontId="49" fillId="7" borderId="14" xfId="0" applyNumberFormat="1" applyFont="1" applyFill="1" applyBorder="1" applyAlignment="1">
      <alignment vertical="center" wrapText="1"/>
    </xf>
    <xf numFmtId="0" fontId="50" fillId="10" borderId="14" xfId="0" applyNumberFormat="1" applyFont="1" applyFill="1" applyBorder="1" applyAlignment="1">
      <alignment vertical="center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50" fillId="10" borderId="14" xfId="0" applyNumberFormat="1" applyFont="1" applyFill="1" applyBorder="1" applyAlignment="1">
      <alignment vertical="center" wrapText="1"/>
    </xf>
    <xf numFmtId="0" fontId="38" fillId="10" borderId="10" xfId="0" applyNumberFormat="1" applyFont="1" applyFill="1" applyBorder="1" applyAlignment="1">
      <alignment vertical="center"/>
    </xf>
    <xf numFmtId="166" fontId="49" fillId="8" borderId="14" xfId="0" applyNumberFormat="1" applyFont="1" applyFill="1" applyBorder="1" applyAlignment="1">
      <alignment vertical="center"/>
    </xf>
    <xf numFmtId="0" fontId="49" fillId="8" borderId="14" xfId="0" applyNumberFormat="1" applyFont="1" applyFill="1" applyBorder="1" applyAlignment="1">
      <alignment vertical="center"/>
    </xf>
    <xf numFmtId="166" fontId="49" fillId="7" borderId="14" xfId="0" applyNumberFormat="1" applyFont="1" applyFill="1" applyBorder="1" applyAlignment="1">
      <alignment vertical="center"/>
    </xf>
    <xf numFmtId="0" fontId="49" fillId="7" borderId="14" xfId="0" applyNumberFormat="1" applyFont="1" applyFill="1" applyBorder="1" applyAlignment="1">
      <alignment vertical="center"/>
    </xf>
    <xf numFmtId="167" fontId="4" fillId="3" borderId="0" xfId="0" applyNumberFormat="1" applyFont="1" applyFill="1" applyBorder="1" applyAlignment="1">
      <alignment vertical="center"/>
    </xf>
    <xf numFmtId="168" fontId="4" fillId="3" borderId="0" xfId="0" applyNumberFormat="1" applyFont="1" applyFill="1" applyBorder="1" applyAlignment="1">
      <alignment vertical="center"/>
    </xf>
    <xf numFmtId="0" fontId="13" fillId="3" borderId="0" xfId="0" applyFont="1" applyFill="1"/>
    <xf numFmtId="0" fontId="23" fillId="4" borderId="0" xfId="0" applyNumberFormat="1" applyFont="1" applyFill="1" applyBorder="1" applyAlignment="1">
      <alignment vertical="center"/>
    </xf>
    <xf numFmtId="0" fontId="35" fillId="8" borderId="10" xfId="0" applyNumberFormat="1" applyFont="1" applyFill="1" applyBorder="1" applyAlignment="1">
      <alignment horizontal="center" vertical="center" wrapText="1"/>
    </xf>
    <xf numFmtId="171" fontId="49" fillId="8" borderId="14" xfId="0" applyNumberFormat="1" applyFont="1" applyFill="1" applyBorder="1" applyAlignment="1">
      <alignment vertical="center"/>
    </xf>
    <xf numFmtId="172" fontId="49" fillId="8" borderId="14" xfId="0" applyNumberFormat="1" applyFont="1" applyFill="1" applyBorder="1" applyAlignment="1">
      <alignment vertical="center"/>
    </xf>
    <xf numFmtId="171" fontId="49" fillId="7" borderId="14" xfId="0" applyNumberFormat="1" applyFont="1" applyFill="1" applyBorder="1" applyAlignment="1">
      <alignment vertical="center"/>
    </xf>
    <xf numFmtId="172" fontId="49" fillId="7" borderId="14" xfId="0" applyNumberFormat="1" applyFont="1" applyFill="1" applyBorder="1" applyAlignment="1">
      <alignment vertical="center"/>
    </xf>
    <xf numFmtId="171" fontId="0" fillId="0" borderId="0" xfId="0" applyNumberFormat="1"/>
    <xf numFmtId="172" fontId="0" fillId="0" borderId="0" xfId="0" applyNumberFormat="1"/>
    <xf numFmtId="173" fontId="49" fillId="3" borderId="14" xfId="0" applyNumberFormat="1" applyFont="1" applyFill="1" applyBorder="1" applyAlignment="1">
      <alignment vertical="center" wrapText="1"/>
    </xf>
    <xf numFmtId="0" fontId="49" fillId="3" borderId="14" xfId="0" applyNumberFormat="1" applyFont="1" applyFill="1" applyBorder="1" applyAlignment="1">
      <alignment vertical="center" wrapText="1"/>
    </xf>
    <xf numFmtId="0" fontId="16" fillId="4" borderId="0" xfId="0" applyNumberFormat="1" applyFont="1" applyFill="1" applyBorder="1" applyAlignment="1">
      <alignment vertical="center"/>
    </xf>
    <xf numFmtId="0" fontId="61" fillId="4" borderId="0" xfId="1" applyNumberFormat="1" applyFill="1" applyBorder="1" applyAlignment="1">
      <alignment vertical="center"/>
    </xf>
    <xf numFmtId="0" fontId="4" fillId="8" borderId="0" xfId="0" applyNumberFormat="1" applyFont="1" applyFill="1" applyBorder="1" applyAlignment="1">
      <alignment vertical="center"/>
    </xf>
    <xf numFmtId="0" fontId="4" fillId="12" borderId="0" xfId="0" applyNumberFormat="1" applyFont="1" applyFill="1" applyBorder="1" applyAlignment="1">
      <alignment vertical="center"/>
    </xf>
    <xf numFmtId="0" fontId="4" fillId="13" borderId="0" xfId="0" applyNumberFormat="1" applyFont="1" applyFill="1" applyBorder="1" applyAlignment="1">
      <alignment vertical="center"/>
    </xf>
    <xf numFmtId="0" fontId="4" fillId="14" borderId="0" xfId="0" applyNumberFormat="1" applyFont="1" applyFill="1" applyBorder="1" applyAlignment="1">
      <alignment vertical="center"/>
    </xf>
    <xf numFmtId="0" fontId="4" fillId="15" borderId="0" xfId="0" applyNumberFormat="1" applyFont="1" applyFill="1" applyBorder="1" applyAlignment="1">
      <alignment vertical="center"/>
    </xf>
    <xf numFmtId="0" fontId="4" fillId="16" borderId="0" xfId="0" applyNumberFormat="1" applyFont="1" applyFill="1" applyBorder="1" applyAlignment="1">
      <alignment vertical="center"/>
    </xf>
    <xf numFmtId="0" fontId="4" fillId="17" borderId="0" xfId="0" applyNumberFormat="1" applyFont="1" applyFill="1" applyBorder="1" applyAlignment="1">
      <alignment vertical="center"/>
    </xf>
    <xf numFmtId="0" fontId="4" fillId="18" borderId="0" xfId="0" applyNumberFormat="1" applyFont="1" applyFill="1" applyBorder="1" applyAlignment="1">
      <alignment vertical="center"/>
    </xf>
    <xf numFmtId="0" fontId="4" fillId="19" borderId="0" xfId="0" applyNumberFormat="1" applyFont="1" applyFill="1" applyBorder="1" applyAlignment="1">
      <alignment vertical="center"/>
    </xf>
    <xf numFmtId="0" fontId="4" fillId="20" borderId="0" xfId="0" applyNumberFormat="1" applyFont="1" applyFill="1" applyBorder="1" applyAlignment="1">
      <alignment vertical="center"/>
    </xf>
    <xf numFmtId="0" fontId="4" fillId="21" borderId="0" xfId="0" applyNumberFormat="1" applyFont="1" applyFill="1" applyBorder="1" applyAlignment="1">
      <alignment vertical="center"/>
    </xf>
    <xf numFmtId="0" fontId="4" fillId="22" borderId="0" xfId="0" applyNumberFormat="1" applyFont="1" applyFill="1" applyBorder="1" applyAlignment="1">
      <alignment vertical="center"/>
    </xf>
    <xf numFmtId="0" fontId="4" fillId="23" borderId="0" xfId="0" applyNumberFormat="1" applyFont="1" applyFill="1" applyBorder="1" applyAlignment="1">
      <alignment vertical="center"/>
    </xf>
    <xf numFmtId="0" fontId="25" fillId="8" borderId="0" xfId="0" applyNumberFormat="1" applyFont="1" applyFill="1" applyBorder="1" applyAlignment="1">
      <alignment vertical="center"/>
    </xf>
    <xf numFmtId="0" fontId="14" fillId="8" borderId="0" xfId="0" applyNumberFormat="1" applyFont="1" applyFill="1" applyBorder="1" applyAlignment="1">
      <alignment vertical="center"/>
    </xf>
    <xf numFmtId="0" fontId="6" fillId="8" borderId="0" xfId="0" applyNumberFormat="1" applyFont="1" applyFill="1" applyBorder="1" applyAlignment="1">
      <alignment vertical="center"/>
    </xf>
    <xf numFmtId="9" fontId="14" fillId="8" borderId="0" xfId="0" applyNumberFormat="1" applyFont="1" applyFill="1" applyBorder="1" applyAlignment="1">
      <alignment vertical="center"/>
    </xf>
    <xf numFmtId="164" fontId="14" fillId="8" borderId="0" xfId="0" applyNumberFormat="1" applyFont="1" applyFill="1" applyBorder="1" applyAlignment="1">
      <alignment vertical="center"/>
    </xf>
    <xf numFmtId="0" fontId="25" fillId="7" borderId="0" xfId="0" applyNumberFormat="1" applyFont="1" applyFill="1" applyBorder="1" applyAlignment="1">
      <alignment vertical="center"/>
    </xf>
    <xf numFmtId="0" fontId="17" fillId="10" borderId="0" xfId="0" applyNumberFormat="1" applyFont="1" applyFill="1" applyBorder="1" applyAlignment="1">
      <alignment vertical="center"/>
    </xf>
    <xf numFmtId="165" fontId="14" fillId="8" borderId="0" xfId="0" applyNumberFormat="1" applyFont="1" applyFill="1" applyBorder="1" applyAlignment="1">
      <alignment vertical="center"/>
    </xf>
    <xf numFmtId="0" fontId="13" fillId="8" borderId="0" xfId="0" applyFont="1" applyFill="1" applyBorder="1"/>
    <xf numFmtId="0" fontId="15" fillId="8" borderId="0" xfId="0" applyNumberFormat="1" applyFont="1" applyFill="1" applyBorder="1" applyAlignment="1">
      <alignment horizontal="center" vertical="center"/>
    </xf>
    <xf numFmtId="0" fontId="17" fillId="10" borderId="24" xfId="0" applyNumberFormat="1" applyFont="1" applyFill="1" applyBorder="1" applyAlignment="1">
      <alignment horizontal="left" vertical="center"/>
    </xf>
    <xf numFmtId="0" fontId="0" fillId="0" borderId="0" xfId="0" applyBorder="1"/>
    <xf numFmtId="0" fontId="3" fillId="7" borderId="0" xfId="0" applyNumberFormat="1" applyFont="1" applyFill="1" applyBorder="1" applyAlignment="1">
      <alignment vertical="center"/>
    </xf>
    <xf numFmtId="0" fontId="42" fillId="4" borderId="0" xfId="0" applyNumberFormat="1" applyFont="1" applyFill="1" applyBorder="1" applyAlignment="1">
      <alignment vertical="center" wrapText="1"/>
    </xf>
    <xf numFmtId="0" fontId="44" fillId="10" borderId="0" xfId="0" applyNumberFormat="1" applyFont="1" applyFill="1" applyBorder="1" applyAlignment="1">
      <alignment vertical="center"/>
    </xf>
    <xf numFmtId="0" fontId="40" fillId="4" borderId="0" xfId="0" applyNumberFormat="1" applyFont="1" applyFill="1" applyBorder="1" applyAlignment="1">
      <alignment vertical="center"/>
    </xf>
    <xf numFmtId="0" fontId="13" fillId="3" borderId="0" xfId="0" applyFont="1" applyFill="1" applyBorder="1"/>
    <xf numFmtId="0" fontId="11" fillId="7" borderId="0" xfId="0" applyNumberFormat="1" applyFont="1" applyFill="1" applyBorder="1" applyAlignment="1">
      <alignment horizontal="left" vertical="center"/>
    </xf>
    <xf numFmtId="0" fontId="17" fillId="7" borderId="0" xfId="0" applyNumberFormat="1" applyFont="1" applyFill="1" applyBorder="1" applyAlignment="1">
      <alignment vertical="center"/>
    </xf>
    <xf numFmtId="0" fontId="58" fillId="8" borderId="0" xfId="0" applyNumberFormat="1" applyFont="1" applyFill="1" applyBorder="1" applyAlignment="1">
      <alignment vertical="center"/>
    </xf>
    <xf numFmtId="0" fontId="21" fillId="8" borderId="0" xfId="0" applyNumberFormat="1" applyFont="1" applyFill="1" applyBorder="1" applyAlignment="1">
      <alignment vertical="center"/>
    </xf>
    <xf numFmtId="0" fontId="22" fillId="8" borderId="0" xfId="0" applyNumberFormat="1" applyFont="1" applyFill="1" applyBorder="1" applyAlignment="1">
      <alignment vertical="center"/>
    </xf>
    <xf numFmtId="9" fontId="23" fillId="7" borderId="0" xfId="0" applyNumberFormat="1" applyFont="1" applyFill="1" applyBorder="1" applyAlignment="1">
      <alignment horizontal="center" vertical="center"/>
    </xf>
    <xf numFmtId="9" fontId="20" fillId="7" borderId="0" xfId="0" applyNumberFormat="1" applyFont="1" applyFill="1" applyBorder="1" applyAlignment="1">
      <alignment horizontal="center" vertical="center"/>
    </xf>
    <xf numFmtId="9" fontId="9" fillId="8" borderId="0" xfId="0" applyNumberFormat="1" applyFont="1" applyFill="1" applyBorder="1" applyAlignment="1">
      <alignment horizontal="center" vertical="center"/>
    </xf>
    <xf numFmtId="0" fontId="17" fillId="6" borderId="11" xfId="0" applyNumberFormat="1" applyFont="1" applyFill="1" applyBorder="1" applyAlignment="1">
      <alignment horizontal="center" vertical="center"/>
    </xf>
    <xf numFmtId="0" fontId="17" fillId="6" borderId="12" xfId="0" applyNumberFormat="1" applyFont="1" applyFill="1" applyBorder="1" applyAlignment="1">
      <alignment horizontal="center" vertical="center"/>
    </xf>
    <xf numFmtId="0" fontId="17" fillId="6" borderId="13" xfId="0" applyNumberFormat="1" applyFont="1" applyFill="1" applyBorder="1" applyAlignment="1">
      <alignment horizontal="center" vertical="center"/>
    </xf>
    <xf numFmtId="0" fontId="17" fillId="7" borderId="11" xfId="0" applyNumberFormat="1" applyFont="1" applyFill="1" applyBorder="1" applyAlignment="1">
      <alignment horizontal="center" vertical="center"/>
    </xf>
    <xf numFmtId="0" fontId="17" fillId="7" borderId="13" xfId="0" applyNumberFormat="1" applyFont="1" applyFill="1" applyBorder="1" applyAlignment="1">
      <alignment horizontal="center" vertical="center"/>
    </xf>
    <xf numFmtId="0" fontId="3" fillId="7" borderId="11" xfId="0" applyNumberFormat="1" applyFont="1" applyFill="1" applyBorder="1" applyAlignment="1">
      <alignment horizontal="center" vertical="center"/>
    </xf>
    <xf numFmtId="0" fontId="3" fillId="7" borderId="12" xfId="0" applyNumberFormat="1" applyFont="1" applyFill="1" applyBorder="1" applyAlignment="1">
      <alignment horizontal="center" vertical="center"/>
    </xf>
    <xf numFmtId="0" fontId="3" fillId="7" borderId="13" xfId="0" applyNumberFormat="1" applyFont="1" applyFill="1" applyBorder="1" applyAlignment="1">
      <alignment horizontal="center" vertical="center"/>
    </xf>
    <xf numFmtId="0" fontId="62" fillId="4" borderId="0" xfId="0" applyNumberFormat="1" applyFont="1" applyFill="1" applyBorder="1" applyAlignment="1">
      <alignment horizontal="left" vertical="center"/>
    </xf>
    <xf numFmtId="0" fontId="18" fillId="6" borderId="11" xfId="0" applyNumberFormat="1" applyFont="1" applyFill="1" applyBorder="1" applyAlignment="1">
      <alignment horizontal="center" vertical="center"/>
    </xf>
    <xf numFmtId="0" fontId="18" fillId="6" borderId="12" xfId="0" applyNumberFormat="1" applyFont="1" applyFill="1" applyBorder="1" applyAlignment="1">
      <alignment horizontal="center" vertical="center"/>
    </xf>
    <xf numFmtId="0" fontId="18" fillId="6" borderId="13" xfId="0" applyNumberFormat="1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0" fontId="30" fillId="8" borderId="0" xfId="0" applyFont="1" applyFill="1" applyBorder="1" applyAlignment="1">
      <alignment horizontal="center" vertical="center"/>
    </xf>
    <xf numFmtId="0" fontId="25" fillId="8" borderId="0" xfId="0" applyNumberFormat="1" applyFont="1" applyFill="1" applyBorder="1" applyAlignment="1">
      <alignment horizontal="center" vertical="center"/>
    </xf>
    <xf numFmtId="0" fontId="6" fillId="8" borderId="0" xfId="0" applyNumberFormat="1" applyFont="1" applyFill="1" applyBorder="1" applyAlignment="1">
      <alignment horizontal="center" vertical="center"/>
    </xf>
    <xf numFmtId="0" fontId="27" fillId="8" borderId="0" xfId="0" applyNumberFormat="1" applyFont="1" applyFill="1" applyBorder="1" applyAlignment="1">
      <alignment horizontal="center" vertical="center"/>
    </xf>
    <xf numFmtId="0" fontId="29" fillId="8" borderId="0" xfId="0" applyNumberFormat="1" applyFont="1" applyFill="1" applyBorder="1" applyAlignment="1">
      <alignment horizontal="center" vertical="center"/>
    </xf>
    <xf numFmtId="0" fontId="6" fillId="7" borderId="0" xfId="0" applyNumberFormat="1" applyFont="1" applyFill="1" applyBorder="1" applyAlignment="1">
      <alignment horizontal="center" vertical="center"/>
    </xf>
    <xf numFmtId="0" fontId="6" fillId="9" borderId="0" xfId="0" applyNumberFormat="1" applyFont="1" applyFill="1" applyBorder="1" applyAlignment="1">
      <alignment horizontal="center" vertical="center"/>
    </xf>
    <xf numFmtId="0" fontId="25" fillId="10" borderId="0" xfId="0" applyNumberFormat="1" applyFont="1" applyFill="1" applyBorder="1" applyAlignment="1">
      <alignment horizontal="center" vertical="center"/>
    </xf>
    <xf numFmtId="0" fontId="35" fillId="8" borderId="24" xfId="0" applyNumberFormat="1" applyFont="1" applyFill="1" applyBorder="1" applyAlignment="1">
      <alignment horizontal="center" vertical="center"/>
    </xf>
    <xf numFmtId="0" fontId="36" fillId="8" borderId="0" xfId="0" applyNumberFormat="1" applyFont="1" applyFill="1" applyBorder="1" applyAlignment="1">
      <alignment horizontal="center" vertical="center"/>
    </xf>
    <xf numFmtId="0" fontId="37" fillId="7" borderId="0" xfId="0" applyNumberFormat="1" applyFont="1" applyFill="1" applyBorder="1" applyAlignment="1">
      <alignment horizontal="center" vertical="center"/>
    </xf>
    <xf numFmtId="0" fontId="19" fillId="4" borderId="0" xfId="0" applyNumberFormat="1" applyFont="1" applyFill="1" applyBorder="1" applyAlignment="1">
      <alignment horizontal="left" vertical="center"/>
    </xf>
    <xf numFmtId="0" fontId="2" fillId="7" borderId="24" xfId="0" applyNumberFormat="1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 vertical="center"/>
    </xf>
    <xf numFmtId="0" fontId="31" fillId="8" borderId="0" xfId="0" applyNumberFormat="1" applyFont="1" applyFill="1" applyBorder="1" applyAlignment="1">
      <alignment horizontal="center" vertical="center"/>
    </xf>
    <xf numFmtId="0" fontId="34" fillId="8" borderId="0" xfId="0" applyNumberFormat="1" applyFont="1" applyFill="1" applyBorder="1" applyAlignment="1">
      <alignment horizontal="center" vertical="center"/>
    </xf>
    <xf numFmtId="0" fontId="12" fillId="8" borderId="0" xfId="0" applyNumberFormat="1" applyFont="1" applyFill="1" applyBorder="1" applyAlignment="1">
      <alignment horizontal="center" vertical="center"/>
    </xf>
    <xf numFmtId="0" fontId="32" fillId="8" borderId="0" xfId="0" applyNumberFormat="1" applyFont="1" applyFill="1" applyBorder="1" applyAlignment="1">
      <alignment horizontal="center" vertical="center"/>
    </xf>
    <xf numFmtId="0" fontId="21" fillId="8" borderId="0" xfId="0" applyNumberFormat="1" applyFont="1" applyFill="1" applyBorder="1" applyAlignment="1">
      <alignment horizontal="center" vertical="center"/>
    </xf>
    <xf numFmtId="0" fontId="33" fillId="8" borderId="0" xfId="0" applyNumberFormat="1" applyFont="1" applyFill="1" applyBorder="1" applyAlignment="1">
      <alignment horizontal="center" vertical="center"/>
    </xf>
    <xf numFmtId="0" fontId="3" fillId="6" borderId="0" xfId="0" applyNumberFormat="1" applyFont="1" applyFill="1" applyBorder="1" applyAlignment="1">
      <alignment horizontal="center" vertical="center" wrapText="1"/>
    </xf>
    <xf numFmtId="0" fontId="23" fillId="4" borderId="0" xfId="0" applyNumberFormat="1" applyFont="1" applyFill="1" applyBorder="1" applyAlignment="1">
      <alignment vertical="center"/>
    </xf>
    <xf numFmtId="0" fontId="10" fillId="4" borderId="0" xfId="0" applyNumberFormat="1" applyFont="1" applyFill="1" applyBorder="1" applyAlignment="1">
      <alignment vertical="center"/>
    </xf>
    <xf numFmtId="0" fontId="22" fillId="4" borderId="0" xfId="0" applyNumberFormat="1" applyFont="1" applyFill="1" applyBorder="1" applyAlignment="1">
      <alignment vertical="center"/>
    </xf>
    <xf numFmtId="0" fontId="4" fillId="4" borderId="0" xfId="0" applyNumberFormat="1" applyFont="1" applyFill="1" applyBorder="1" applyAlignment="1">
      <alignment vertical="center"/>
    </xf>
    <xf numFmtId="0" fontId="3" fillId="7" borderId="0" xfId="0" applyNumberFormat="1" applyFont="1" applyFill="1" applyBorder="1" applyAlignment="1">
      <alignment horizontal="left" vertical="center"/>
    </xf>
    <xf numFmtId="0" fontId="42" fillId="4" borderId="0" xfId="0" applyNumberFormat="1" applyFont="1" applyFill="1" applyBorder="1" applyAlignment="1">
      <alignment vertical="center" wrapText="1"/>
    </xf>
    <xf numFmtId="0" fontId="43" fillId="10" borderId="0" xfId="0" applyNumberFormat="1" applyFont="1" applyFill="1" applyBorder="1" applyAlignment="1">
      <alignment vertical="center" wrapText="1"/>
    </xf>
    <xf numFmtId="0" fontId="39" fillId="4" borderId="0" xfId="0" applyNumberFormat="1" applyFont="1" applyFill="1" applyBorder="1" applyAlignment="1">
      <alignment vertical="center" wrapText="1"/>
    </xf>
    <xf numFmtId="0" fontId="41" fillId="4" borderId="0" xfId="0" applyNumberFormat="1" applyFont="1" applyFill="1" applyBorder="1" applyAlignment="1">
      <alignment vertical="center" wrapText="1"/>
    </xf>
    <xf numFmtId="0" fontId="29" fillId="11" borderId="0" xfId="0" applyNumberFormat="1" applyFont="1" applyFill="1" applyBorder="1" applyAlignment="1">
      <alignment vertical="center" wrapText="1"/>
    </xf>
    <xf numFmtId="0" fontId="59" fillId="4" borderId="0" xfId="0" applyNumberFormat="1" applyFont="1" applyFill="1" applyBorder="1" applyAlignment="1">
      <alignment horizontal="left" vertical="center"/>
    </xf>
    <xf numFmtId="0" fontId="3" fillId="7" borderId="10" xfId="0" applyNumberFormat="1" applyFont="1" applyFill="1" applyBorder="1" applyAlignment="1">
      <alignment horizontal="left" vertical="center"/>
    </xf>
    <xf numFmtId="0" fontId="17" fillId="10" borderId="14" xfId="0" applyNumberFormat="1" applyFont="1" applyFill="1" applyBorder="1" applyAlignment="1">
      <alignment vertical="center"/>
    </xf>
    <xf numFmtId="0" fontId="14" fillId="8" borderId="14" xfId="0" applyNumberFormat="1" applyFont="1" applyFill="1" applyBorder="1" applyAlignment="1">
      <alignment vertical="center" wrapText="1"/>
    </xf>
    <xf numFmtId="0" fontId="15" fillId="8" borderId="14" xfId="0" applyNumberFormat="1" applyFont="1" applyFill="1" applyBorder="1" applyAlignment="1">
      <alignment vertical="center"/>
    </xf>
    <xf numFmtId="0" fontId="11" fillId="8" borderId="14" xfId="0" applyNumberFormat="1" applyFont="1" applyFill="1" applyBorder="1" applyAlignment="1">
      <alignment vertical="center" wrapText="1"/>
    </xf>
    <xf numFmtId="0" fontId="46" fillId="7" borderId="10" xfId="0" applyNumberFormat="1" applyFont="1" applyFill="1" applyBorder="1" applyAlignment="1">
      <alignment horizontal="center" vertical="center" wrapText="1"/>
    </xf>
    <xf numFmtId="0" fontId="48" fillId="10" borderId="10" xfId="0" applyNumberFormat="1" applyFont="1" applyFill="1" applyBorder="1" applyAlignment="1">
      <alignment horizontal="center" vertical="center" wrapText="1"/>
    </xf>
    <xf numFmtId="0" fontId="52" fillId="11" borderId="15" xfId="0" applyNumberFormat="1" applyFont="1" applyFill="1" applyBorder="1" applyAlignment="1">
      <alignment horizontal="center" vertical="center" wrapText="1"/>
    </xf>
    <xf numFmtId="0" fontId="2" fillId="7" borderId="11" xfId="0" applyNumberFormat="1" applyFont="1" applyFill="1" applyBorder="1" applyAlignment="1">
      <alignment horizontal="left" vertical="center"/>
    </xf>
    <xf numFmtId="0" fontId="2" fillId="7" borderId="12" xfId="0" applyNumberFormat="1" applyFont="1" applyFill="1" applyBorder="1" applyAlignment="1">
      <alignment horizontal="left" vertical="center"/>
    </xf>
    <xf numFmtId="0" fontId="2" fillId="7" borderId="13" xfId="0" applyNumberFormat="1" applyFont="1" applyFill="1" applyBorder="1" applyAlignment="1">
      <alignment horizontal="left" vertical="center"/>
    </xf>
    <xf numFmtId="0" fontId="2" fillId="7" borderId="0" xfId="0" applyNumberFormat="1" applyFont="1" applyFill="1" applyBorder="1" applyAlignment="1">
      <alignment horizontal="left" vertical="center"/>
    </xf>
    <xf numFmtId="0" fontId="47" fillId="6" borderId="16" xfId="0" applyNumberFormat="1" applyFont="1" applyFill="1" applyBorder="1" applyAlignment="1">
      <alignment horizontal="center" vertical="center" wrapText="1"/>
    </xf>
    <xf numFmtId="0" fontId="47" fillId="6" borderId="17" xfId="0" applyNumberFormat="1" applyFont="1" applyFill="1" applyBorder="1" applyAlignment="1">
      <alignment horizontal="center" vertical="center" wrapText="1"/>
    </xf>
    <xf numFmtId="0" fontId="47" fillId="6" borderId="18" xfId="0" applyNumberFormat="1" applyFont="1" applyFill="1" applyBorder="1" applyAlignment="1">
      <alignment horizontal="center" vertical="center" wrapText="1"/>
    </xf>
    <xf numFmtId="0" fontId="47" fillId="6" borderId="19" xfId="0" applyNumberFormat="1" applyFont="1" applyFill="1" applyBorder="1" applyAlignment="1">
      <alignment horizontal="center" vertical="center" wrapText="1"/>
    </xf>
    <xf numFmtId="0" fontId="47" fillId="6" borderId="0" xfId="0" applyNumberFormat="1" applyFont="1" applyFill="1" applyBorder="1" applyAlignment="1">
      <alignment horizontal="center" vertical="center" wrapText="1"/>
    </xf>
    <xf numFmtId="0" fontId="47" fillId="6" borderId="20" xfId="0" applyNumberFormat="1" applyFont="1" applyFill="1" applyBorder="1" applyAlignment="1">
      <alignment horizontal="center" vertical="center" wrapText="1"/>
    </xf>
    <xf numFmtId="0" fontId="47" fillId="6" borderId="21" xfId="0" applyNumberFormat="1" applyFont="1" applyFill="1" applyBorder="1" applyAlignment="1">
      <alignment horizontal="center" vertical="center" wrapText="1"/>
    </xf>
    <xf numFmtId="0" fontId="47" fillId="6" borderId="22" xfId="0" applyNumberFormat="1" applyFont="1" applyFill="1" applyBorder="1" applyAlignment="1">
      <alignment horizontal="center" vertical="center" wrapText="1"/>
    </xf>
    <xf numFmtId="0" fontId="47" fillId="6" borderId="23" xfId="0" applyNumberFormat="1" applyFont="1" applyFill="1" applyBorder="1" applyAlignment="1">
      <alignment horizontal="center" vertical="center" wrapText="1"/>
    </xf>
    <xf numFmtId="167" fontId="8" fillId="3" borderId="2" xfId="0" applyNumberFormat="1" applyFont="1" applyFill="1" applyBorder="1" applyAlignment="1">
      <alignment horizontal="center" vertical="center" wrapText="1"/>
    </xf>
    <xf numFmtId="0" fontId="8" fillId="3" borderId="3" xfId="0" applyNumberFormat="1" applyFont="1" applyFill="1" applyBorder="1" applyAlignment="1">
      <alignment horizontal="center" vertical="center" wrapText="1"/>
    </xf>
    <xf numFmtId="168" fontId="8" fillId="3" borderId="3" xfId="0" applyNumberFormat="1" applyFont="1" applyFill="1" applyBorder="1" applyAlignment="1">
      <alignment horizontal="center" vertical="center" wrapText="1"/>
    </xf>
    <xf numFmtId="0" fontId="8" fillId="3" borderId="4" xfId="0" applyNumberFormat="1" applyFont="1" applyFill="1" applyBorder="1" applyAlignment="1">
      <alignment horizontal="center" vertical="center" wrapText="1"/>
    </xf>
    <xf numFmtId="167" fontId="8" fillId="3" borderId="8" xfId="0" applyNumberFormat="1" applyFont="1" applyFill="1" applyBorder="1" applyAlignment="1">
      <alignment horizontal="center" vertical="center" wrapText="1"/>
    </xf>
    <xf numFmtId="0" fontId="8" fillId="3" borderId="0" xfId="0" applyNumberFormat="1" applyFont="1" applyFill="1" applyBorder="1" applyAlignment="1">
      <alignment horizontal="center" vertical="center" wrapText="1"/>
    </xf>
    <xf numFmtId="168" fontId="8" fillId="3" borderId="0" xfId="0" applyNumberFormat="1" applyFont="1" applyFill="1" applyBorder="1" applyAlignment="1">
      <alignment horizontal="center" vertical="center" wrapText="1"/>
    </xf>
    <xf numFmtId="0" fontId="8" fillId="3" borderId="9" xfId="0" applyNumberFormat="1" applyFont="1" applyFill="1" applyBorder="1" applyAlignment="1">
      <alignment horizontal="center" vertical="center" wrapText="1"/>
    </xf>
    <xf numFmtId="167" fontId="8" fillId="3" borderId="5" xfId="0" applyNumberFormat="1" applyFont="1" applyFill="1" applyBorder="1" applyAlignment="1">
      <alignment horizontal="center" vertical="center" wrapText="1"/>
    </xf>
    <xf numFmtId="0" fontId="8" fillId="3" borderId="6" xfId="0" applyNumberFormat="1" applyFont="1" applyFill="1" applyBorder="1" applyAlignment="1">
      <alignment horizontal="center" vertical="center" wrapText="1"/>
    </xf>
    <xf numFmtId="168" fontId="8" fillId="3" borderId="6" xfId="0" applyNumberFormat="1" applyFont="1" applyFill="1" applyBorder="1" applyAlignment="1">
      <alignment horizontal="center" vertical="center" wrapText="1"/>
    </xf>
    <xf numFmtId="0" fontId="8" fillId="3" borderId="7" xfId="0" applyNumberFormat="1" applyFont="1" applyFill="1" applyBorder="1" applyAlignment="1">
      <alignment horizontal="center" vertical="center" wrapText="1"/>
    </xf>
    <xf numFmtId="0" fontId="35" fillId="8" borderId="10" xfId="0" applyNumberFormat="1" applyFont="1" applyFill="1" applyBorder="1" applyAlignment="1">
      <alignment horizontal="center" vertical="center"/>
    </xf>
    <xf numFmtId="0" fontId="36" fillId="8" borderId="10" xfId="0" applyNumberFormat="1" applyFont="1" applyFill="1" applyBorder="1" applyAlignment="1">
      <alignment horizontal="center" vertical="center"/>
    </xf>
    <xf numFmtId="0" fontId="35" fillId="8" borderId="10" xfId="0" applyNumberFormat="1" applyFont="1" applyFill="1" applyBorder="1" applyAlignment="1">
      <alignment horizontal="center" vertical="center" wrapText="1"/>
    </xf>
    <xf numFmtId="0" fontId="36" fillId="8" borderId="10" xfId="0" applyNumberFormat="1" applyFont="1" applyFill="1" applyBorder="1" applyAlignment="1">
      <alignment horizontal="center" vertical="center" wrapText="1"/>
    </xf>
    <xf numFmtId="0" fontId="53" fillId="6" borderId="16" xfId="0" applyNumberFormat="1" applyFont="1" applyFill="1" applyBorder="1" applyAlignment="1">
      <alignment horizontal="center" vertical="center"/>
    </xf>
    <xf numFmtId="0" fontId="53" fillId="6" borderId="17" xfId="0" applyNumberFormat="1" applyFont="1" applyFill="1" applyBorder="1" applyAlignment="1">
      <alignment horizontal="center" vertical="center"/>
    </xf>
    <xf numFmtId="0" fontId="53" fillId="6" borderId="18" xfId="0" applyNumberFormat="1" applyFont="1" applyFill="1" applyBorder="1" applyAlignment="1">
      <alignment horizontal="center" vertical="center"/>
    </xf>
    <xf numFmtId="0" fontId="53" fillId="6" borderId="19" xfId="0" applyNumberFormat="1" applyFont="1" applyFill="1" applyBorder="1" applyAlignment="1">
      <alignment horizontal="center" vertical="center"/>
    </xf>
    <xf numFmtId="0" fontId="53" fillId="6" borderId="0" xfId="0" applyNumberFormat="1" applyFont="1" applyFill="1" applyBorder="1" applyAlignment="1">
      <alignment horizontal="center" vertical="center"/>
    </xf>
    <xf numFmtId="0" fontId="53" fillId="6" borderId="20" xfId="0" applyNumberFormat="1" applyFont="1" applyFill="1" applyBorder="1" applyAlignment="1">
      <alignment horizontal="center" vertical="center"/>
    </xf>
    <xf numFmtId="0" fontId="53" fillId="6" borderId="21" xfId="0" applyNumberFormat="1" applyFont="1" applyFill="1" applyBorder="1" applyAlignment="1">
      <alignment horizontal="center" vertical="center"/>
    </xf>
    <xf numFmtId="0" fontId="53" fillId="6" borderId="22" xfId="0" applyNumberFormat="1" applyFont="1" applyFill="1" applyBorder="1" applyAlignment="1">
      <alignment horizontal="center" vertical="center"/>
    </xf>
    <xf numFmtId="0" fontId="53" fillId="6" borderId="23" xfId="0" applyNumberFormat="1" applyFont="1" applyFill="1" applyBorder="1" applyAlignment="1">
      <alignment horizontal="center" vertical="center"/>
    </xf>
    <xf numFmtId="0" fontId="57" fillId="7" borderId="0" xfId="0" applyFont="1" applyFill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 wrapText="1"/>
    </xf>
    <xf numFmtId="0" fontId="14" fillId="3" borderId="0" xfId="0" applyNumberFormat="1" applyFont="1" applyFill="1" applyBorder="1" applyAlignment="1">
      <alignment horizontal="center" vertical="center"/>
    </xf>
    <xf numFmtId="0" fontId="17" fillId="8" borderId="10" xfId="0" applyNumberFormat="1" applyFont="1" applyFill="1" applyBorder="1" applyAlignment="1">
      <alignment horizontal="center" vertical="center"/>
    </xf>
    <xf numFmtId="169" fontId="54" fillId="8" borderId="10" xfId="0" applyNumberFormat="1" applyFont="1" applyFill="1" applyBorder="1" applyAlignment="1">
      <alignment horizontal="center" vertical="center"/>
    </xf>
    <xf numFmtId="169" fontId="55" fillId="8" borderId="10" xfId="0" applyNumberFormat="1" applyFont="1" applyFill="1" applyBorder="1" applyAlignment="1">
      <alignment horizontal="center" vertical="center"/>
    </xf>
    <xf numFmtId="169" fontId="56" fillId="8" borderId="10" xfId="0" applyNumberFormat="1" applyFont="1" applyFill="1" applyBorder="1" applyAlignment="1">
      <alignment horizontal="center" vertical="center"/>
    </xf>
    <xf numFmtId="170" fontId="56" fillId="8" borderId="10" xfId="0" applyNumberFormat="1" applyFont="1" applyFill="1" applyBorder="1" applyAlignment="1">
      <alignment horizontal="center" vertical="center"/>
    </xf>
    <xf numFmtId="174" fontId="14" fillId="8" borderId="0" xfId="0" applyNumberFormat="1" applyFont="1" applyFill="1" applyBorder="1" applyAlignment="1">
      <alignment vertical="center"/>
    </xf>
    <xf numFmtId="174" fontId="14" fillId="7" borderId="0" xfId="0" applyNumberFormat="1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77"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2" formatCode="0.0%;[Red]\-0.0%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1" formatCode="&quot;GBP &quot;#,##0;[Red]\-&quot;GBP &quot;#,##0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1" formatCode="&quot;GBP &quot;#,##0;[Red]\-&quot;GBP &quot;#,##0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1" formatCode="&quot;GBP &quot;#,##0;[Red]\-&quot;GBP &quot;#,##0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color rgb="FFF06478"/>
      </font>
    </dxf>
    <dxf>
      <font>
        <color rgb="FF2ED47A"/>
      </font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3" formatCode="dd\-mmm\ hh:mm"/>
      <fill>
        <patternFill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66" formatCode="dd\-mmm\-yyyy"/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/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73A57"/>
        </left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73A57"/>
        </left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numFmt numFmtId="173" formatCode="dd\-mmm\ hh:mm"/>
      <fill>
        <patternFill patternType="solid">
          <fgColor indexed="64"/>
          <bgColor rgb="FF061524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/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/>
        <i val="0"/>
        <strike val="0"/>
        <outline val="0"/>
        <shadow val="0"/>
        <u val="none"/>
        <vertAlign val="baseline"/>
        <sz val="8.5"/>
        <color rgb="FF70C8FF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 style="thin">
          <color rgb="FF173A57"/>
        </right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  <border diagonalUp="0" diagonalDown="0" outline="0">
        <left style="thin">
          <color rgb="FF173A57"/>
        </left>
        <right/>
        <top style="thin">
          <color rgb="FF173A57"/>
        </top>
        <bottom style="thin">
          <color rgb="FF173A57"/>
        </bottom>
      </border>
    </dxf>
    <dxf>
      <font>
        <b val="0"/>
        <i val="0"/>
        <strike val="0"/>
        <outline val="0"/>
        <shadow val="0"/>
        <u val="none"/>
        <vertAlign val="baseline"/>
        <sz val="8.5"/>
        <color rgb="FFD8E7F5"/>
        <name val="Aptos"/>
        <family val="2"/>
        <scheme val="none"/>
      </font>
      <fill>
        <patternFill patternType="solid">
          <fgColor indexed="64"/>
          <bgColor rgb="FF061524"/>
        </patternFill>
      </fill>
    </dxf>
    <dxf>
      <border outline="0">
        <bottom style="thin">
          <color rgb="FF1D5C86"/>
        </bottom>
      </border>
    </dxf>
    <dxf>
      <font>
        <b/>
        <i val="0"/>
        <strike val="0"/>
        <outline val="0"/>
        <shadow val="0"/>
        <u val="none"/>
        <vertAlign val="baseline"/>
        <sz val="8"/>
        <color rgb="FFFFFFFF"/>
        <name val="Aptos"/>
        <family val="2"/>
        <scheme val="none"/>
      </font>
      <fill>
        <patternFill patternType="solid">
          <fgColor indexed="64"/>
          <bgColor rgb="FF0C3153"/>
        </patternFill>
      </fill>
      <border diagonalUp="0" diagonalDown="0" outline="0">
        <left style="thin">
          <color rgb="FF1D5C86"/>
        </left>
        <right style="thin">
          <color rgb="FF1D5C86"/>
        </right>
        <top/>
        <bottom/>
      </border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  <dxf>
      <font>
        <b/>
        <i val="0"/>
        <color rgb="FF8EA9C1"/>
      </font>
      <fill>
        <patternFill>
          <bgColor rgb="FF102C48"/>
        </patternFill>
      </fill>
    </dxf>
    <dxf>
      <font>
        <b/>
        <i val="0"/>
        <color rgb="FF70C8FF"/>
      </font>
      <fill>
        <patternFill>
          <bgColor rgb="FF0C3153"/>
        </patternFill>
      </fill>
    </dxf>
    <dxf>
      <font>
        <b/>
        <i val="0"/>
        <color rgb="FF20C5F5"/>
      </font>
      <fill>
        <patternFill>
          <bgColor rgb="FF0C3153"/>
        </patternFill>
      </fill>
    </dxf>
    <dxf>
      <font>
        <b/>
        <i val="0"/>
        <color rgb="FFF06478"/>
      </font>
      <fill>
        <patternFill>
          <bgColor rgb="FF3A1820"/>
        </patternFill>
      </fill>
    </dxf>
    <dxf>
      <font>
        <b/>
        <i val="0"/>
        <color rgb="FFF7B731"/>
      </font>
      <fill>
        <patternFill>
          <bgColor rgb="FF3B3009"/>
        </patternFill>
      </fill>
    </dxf>
    <dxf>
      <font>
        <b/>
        <i val="0"/>
        <color rgb="FF2ED47A"/>
      </font>
      <fill>
        <patternFill>
          <bgColor rgb="FF0C3A2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cec0916a0a8e4c8f" Type="http://schemas.microsoft.com/office/2022/11/relationships/FeaturePropertyBag" Target="featurePropertyBag/featurePropertyBag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AUTOMATION COVERAGE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Coverage</c:v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168BF2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4FE2-46C0-97DE-D6316E8FFA8D}"/>
              </c:ext>
            </c:extLst>
          </c:dPt>
          <c:dPt>
            <c:idx val="1"/>
            <c:bubble3D val="0"/>
            <c:spPr>
              <a:solidFill>
                <a:srgbClr val="163A5C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4FE2-46C0-97DE-D6316E8FFA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Summary!$T$3:$T$4</c:f>
              <c:numCache>
                <c:formatCode>General</c:formatCode>
                <c:ptCount val="2"/>
              </c:numCache>
            </c:numRef>
          </c:cat>
          <c:val>
            <c:numRef>
              <c:f>Summary!$U$3:$U$4</c:f>
              <c:numCache>
                <c:formatCode>General</c:formatCode>
                <c:ptCount val="2"/>
                <c:pt idx="0">
                  <c:v>5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E2-46C0-97DE-D6316E8FF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OUTCOME MIX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Outcomes</c:v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2ED47A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90C8-4FBA-B4D5-77B61BFD3AEA}"/>
              </c:ext>
            </c:extLst>
          </c:dPt>
          <c:dPt>
            <c:idx val="1"/>
            <c:bubble3D val="0"/>
            <c:spPr>
              <a:solidFill>
                <a:srgbClr val="F7B73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90C8-4FBA-B4D5-77B61BFD3AEA}"/>
              </c:ext>
            </c:extLst>
          </c:dPt>
          <c:dPt>
            <c:idx val="2"/>
            <c:bubble3D val="0"/>
            <c:spPr>
              <a:solidFill>
                <a:srgbClr val="F06478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90C8-4FBA-B4D5-77B61BFD3AEA}"/>
              </c:ext>
            </c:extLst>
          </c:dPt>
          <c:dPt>
            <c:idx val="3"/>
            <c:bubble3D val="0"/>
            <c:spPr>
              <a:solidFill>
                <a:srgbClr val="163A5C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4-90C8-4FBA-B4D5-77B61BFD3AEA}"/>
              </c:ext>
            </c:extLst>
          </c:dPt>
          <c:cat>
            <c:numRef>
              <c:f>Summary!$T$7:$T$10</c:f>
              <c:numCache>
                <c:formatCode>General</c:formatCode>
                <c:ptCount val="4"/>
              </c:numCache>
            </c:numRef>
          </c:cat>
          <c:val>
            <c:numRef>
              <c:f>Summary!$U$7:$U$10</c:f>
              <c:numCache>
                <c:formatCode>General</c:formatCode>
                <c:ptCount val="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8-4FBA-B4D5-77B61BFD3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PERFORMANCE OVER TIME  /  SECONDS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Duration (s)</c:v>
          </c:tx>
          <c:spPr>
            <a:ln w="25400">
              <a:solidFill>
                <a:srgbClr val="168BF2"/>
              </a:solidFill>
            </a:ln>
          </c:spPr>
          <c:marker>
            <c:symbol val="circle"/>
            <c:size val="5"/>
            <c:spPr>
              <a:solidFill>
                <a:srgbClr val="168BF2"/>
              </a:solidFill>
              <a:ln w="25400">
                <a:solidFill>
                  <a:srgbClr val="FFFFFF"/>
                </a:solidFill>
                <a:prstDash val="solid"/>
              </a:ln>
            </c:spPr>
          </c:marker>
          <c:cat>
            <c:numRef>
              <c:f>Summary!$T$14:$T$21</c:f>
              <c:numCache>
                <c:formatCode>h:mm</c:formatCode>
                <c:ptCount val="8"/>
                <c:pt idx="0">
                  <c:v>46249.870347222219</c:v>
                </c:pt>
                <c:pt idx="1">
                  <c:v>46249.870347222219</c:v>
                </c:pt>
                <c:pt idx="2">
                  <c:v>46249.870358796295</c:v>
                </c:pt>
                <c:pt idx="3">
                  <c:v>46249.870358796295</c:v>
                </c:pt>
                <c:pt idx="4">
                  <c:v>46249.870358796295</c:v>
                </c:pt>
                <c:pt idx="5">
                  <c:v>46249.870358796295</c:v>
                </c:pt>
                <c:pt idx="6">
                  <c:v>46249.870370370372</c:v>
                </c:pt>
                <c:pt idx="7">
                  <c:v>46249.870370370372</c:v>
                </c:pt>
              </c:numCache>
            </c:numRef>
          </c:cat>
          <c:val>
            <c:numRef>
              <c:f>Summary!$U$14:$U$21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4-45B1-BB11-5E5E41A30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549423"/>
        <c:axId val="878552303"/>
      </c:lineChart>
      <c:catAx>
        <c:axId val="878549423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52303"/>
        <c:crosses val="autoZero"/>
        <c:auto val="1"/>
        <c:lblAlgn val="ctr"/>
        <c:lblOffset val="100"/>
        <c:noMultiLvlLbl val="0"/>
      </c:catAx>
      <c:valAx>
        <c:axId val="878552303"/>
        <c:scaling>
          <c:orientation val="minMax"/>
          <c:min val="0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942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REVENUE  /  ACTUAL VS BUDGET  (GBP)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solidFill>
              <a:srgbClr val="168BF2"/>
            </a:solidFill>
          </c:spPr>
          <c:invertIfNegative val="0"/>
          <c:cat>
            <c:numRef>
              <c:f>'Performance Report'!$Q$3:$Q$6</c:f>
              <c:numCache>
                <c:formatCode>General</c:formatCode>
                <c:ptCount val="4"/>
              </c:numCache>
            </c:numRef>
          </c:cat>
          <c:val>
            <c:numRef>
              <c:f>'Performance Report'!$R$3:$R$6</c:f>
              <c:numCache>
                <c:formatCode>"GBP "#,##0;[Red]\-"GBP "#,##0</c:formatCode>
                <c:ptCount val="4"/>
                <c:pt idx="0">
                  <c:v>3450000</c:v>
                </c:pt>
                <c:pt idx="1">
                  <c:v>4110000</c:v>
                </c:pt>
                <c:pt idx="2">
                  <c:v>2940000</c:v>
                </c:pt>
                <c:pt idx="3">
                  <c:v>2345000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50-4B26-A550-71C1FB0268A9}"/>
            </c:ext>
          </c:extLst>
        </c:ser>
        <c:ser>
          <c:idx val="1"/>
          <c:order val="1"/>
          <c:tx>
            <c:v>Budget</c:v>
          </c:tx>
          <c:spPr>
            <a:solidFill>
              <a:srgbClr val="163A5C"/>
            </a:solidFill>
          </c:spPr>
          <c:invertIfNegative val="0"/>
          <c:cat>
            <c:numRef>
              <c:f>'Performance Report'!$Q$3:$Q$6</c:f>
              <c:numCache>
                <c:formatCode>General</c:formatCode>
                <c:ptCount val="4"/>
              </c:numCache>
            </c:numRef>
          </c:cat>
          <c:val>
            <c:numRef>
              <c:f>'Performance Report'!$S$3:$S$6</c:f>
              <c:numCache>
                <c:formatCode>"GBP "#,##0;[Red]\-"GBP "#,##0</c:formatCode>
                <c:ptCount val="4"/>
                <c:pt idx="0">
                  <c:v>3280000</c:v>
                </c:pt>
                <c:pt idx="1">
                  <c:v>3950000</c:v>
                </c:pt>
                <c:pt idx="2">
                  <c:v>2810000</c:v>
                </c:pt>
                <c:pt idx="3">
                  <c:v>2150000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50-4B26-A550-71C1FB026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546543"/>
        <c:axId val="878550863"/>
      </c:barChart>
      <c:catAx>
        <c:axId val="878546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50863"/>
        <c:crosses val="autoZero"/>
        <c:auto val="1"/>
        <c:lblAlgn val="ctr"/>
        <c:lblOffset val="100"/>
        <c:noMultiLvlLbl val="0"/>
      </c:catAx>
      <c:valAx>
        <c:axId val="87855086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#,##0,,&quot;m&quot;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654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OPERATING COST  /  ACTUAL VS BUDGET  (GBP)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 Cost</c:v>
          </c:tx>
          <c:spPr>
            <a:solidFill>
              <a:srgbClr val="F7B731"/>
            </a:solidFill>
          </c:spPr>
          <c:invertIfNegative val="0"/>
          <c:cat>
            <c:numRef>
              <c:f>'Performance Report'!$Q$10:$Q$13</c:f>
              <c:numCache>
                <c:formatCode>General</c:formatCode>
                <c:ptCount val="4"/>
              </c:numCache>
            </c:numRef>
          </c:cat>
          <c:val>
            <c:numRef>
              <c:f>'Performance Report'!$R$10:$R$13</c:f>
              <c:numCache>
                <c:formatCode>"GBP "#,##0;[Red]\-"GBP "#,##0</c:formatCode>
                <c:ptCount val="4"/>
                <c:pt idx="0">
                  <c:v>2210000</c:v>
                </c:pt>
                <c:pt idx="1">
                  <c:v>2680000</c:v>
                </c:pt>
                <c:pt idx="2">
                  <c:v>1980000</c:v>
                </c:pt>
                <c:pt idx="3">
                  <c:v>1520000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0F-433B-AC21-98D8EF3B0142}"/>
            </c:ext>
          </c:extLst>
        </c:ser>
        <c:ser>
          <c:idx val="1"/>
          <c:order val="1"/>
          <c:tx>
            <c:v>Budget Cost</c:v>
          </c:tx>
          <c:spPr>
            <a:solidFill>
              <a:srgbClr val="163A5C"/>
            </a:solidFill>
          </c:spPr>
          <c:invertIfNegative val="0"/>
          <c:cat>
            <c:numRef>
              <c:f>'Performance Report'!$Q$10:$Q$13</c:f>
              <c:numCache>
                <c:formatCode>General</c:formatCode>
                <c:ptCount val="4"/>
              </c:numCache>
            </c:numRef>
          </c:cat>
          <c:val>
            <c:numRef>
              <c:f>'Performance Report'!$S$10:$S$13</c:f>
              <c:numCache>
                <c:formatCode>"GBP "#,##0;[Red]\-"GBP "#,##0</c:formatCode>
                <c:ptCount val="4"/>
                <c:pt idx="0">
                  <c:v>2140000</c:v>
                </c:pt>
                <c:pt idx="1">
                  <c:v>2590000</c:v>
                </c:pt>
                <c:pt idx="2">
                  <c:v>1910000</c:v>
                </c:pt>
                <c:pt idx="3">
                  <c:v>1460000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0F-433B-AC21-98D8EF3B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542223"/>
        <c:axId val="878552783"/>
      </c:barChart>
      <c:catAx>
        <c:axId val="87854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52783"/>
        <c:crosses val="autoZero"/>
        <c:auto val="1"/>
        <c:lblAlgn val="ctr"/>
        <c:lblOffset val="100"/>
        <c:noMultiLvlLbl val="0"/>
      </c:catAx>
      <c:valAx>
        <c:axId val="87855278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#,##0,,&quot;m&quot;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222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solidFill>
                  <a:srgbClr val="FFFFFF"/>
                </a:solidFill>
                <a:latin typeface="Aptos Display" panose="020B0004020202020204" pitchFamily="34" charset="0"/>
              </a:defRPr>
            </a:pPr>
            <a:r>
              <a:rPr lang="en-GB" sz="900" b="1">
                <a:solidFill>
                  <a:srgbClr val="FFFFFF"/>
                </a:solidFill>
                <a:latin typeface="Aptos Display" panose="020B0004020202020204" pitchFamily="34" charset="0"/>
              </a:rPr>
              <a:t>VARIANCE %  /  REVENUE AND COST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 variance</c:v>
          </c:tx>
          <c:spPr>
            <a:solidFill>
              <a:srgbClr val="2ED47A"/>
            </a:solidFill>
          </c:spPr>
          <c:invertIfNegative val="0"/>
          <c:cat>
            <c:numRef>
              <c:f>'Performance Report'!$Q$17:$Q$20</c:f>
              <c:numCache>
                <c:formatCode>General</c:formatCode>
                <c:ptCount val="4"/>
              </c:numCache>
            </c:numRef>
          </c:cat>
          <c:val>
            <c:numRef>
              <c:f>'Performance Report'!$R$17:$R$20</c:f>
              <c:numCache>
                <c:formatCode>0.0%;[Red]\-0.0%</c:formatCode>
                <c:ptCount val="4"/>
                <c:pt idx="0">
                  <c:v>5.1799999999999999E-2</c:v>
                </c:pt>
                <c:pt idx="1">
                  <c:v>4.0500000000000001E-2</c:v>
                </c:pt>
                <c:pt idx="2">
                  <c:v>4.6300000000000001E-2</c:v>
                </c:pt>
                <c:pt idx="3">
                  <c:v>9.0700000000000003E-2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C-4316-8B18-7B3BC4768807}"/>
            </c:ext>
          </c:extLst>
        </c:ser>
        <c:ser>
          <c:idx val="1"/>
          <c:order val="1"/>
          <c:tx>
            <c:v>Cost variance</c:v>
          </c:tx>
          <c:spPr>
            <a:solidFill>
              <a:srgbClr val="F06478"/>
            </a:solidFill>
          </c:spPr>
          <c:invertIfNegative val="0"/>
          <c:cat>
            <c:numRef>
              <c:f>'Performance Report'!$Q$17:$Q$20</c:f>
              <c:numCache>
                <c:formatCode>General</c:formatCode>
                <c:ptCount val="4"/>
              </c:numCache>
            </c:numRef>
          </c:cat>
          <c:val>
            <c:numRef>
              <c:f>'Performance Report'!$S$17:$S$20</c:f>
              <c:numCache>
                <c:formatCode>0.0%;[Red]\-0.0%</c:formatCode>
                <c:ptCount val="4"/>
                <c:pt idx="0">
                  <c:v>-3.27E-2</c:v>
                </c:pt>
                <c:pt idx="1">
                  <c:v>-3.4700000000000002E-2</c:v>
                </c:pt>
                <c:pt idx="2">
                  <c:v>-3.6600000000000001E-2</c:v>
                </c:pt>
                <c:pt idx="3">
                  <c:v>-4.1099999999999998E-2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C-4316-8B18-7B3BC4768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546063"/>
        <c:axId val="878541743"/>
      </c:barChart>
      <c:catAx>
        <c:axId val="878546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1743"/>
        <c:crosses val="autoZero"/>
        <c:auto val="1"/>
        <c:lblAlgn val="ctr"/>
        <c:lblOffset val="100"/>
        <c:noMultiLvlLbl val="0"/>
      </c:catAx>
      <c:valAx>
        <c:axId val="87854174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rgbClr val="173A57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%" sourceLinked="0"/>
        <c:majorTickMark val="out"/>
        <c:minorTickMark val="none"/>
        <c:tickLblPos val="nextTo"/>
        <c:spPr>
          <a:ln>
            <a:solidFill>
              <a:srgbClr val="1D5C86"/>
            </a:solidFill>
          </a:ln>
        </c:spPr>
        <c:txPr>
          <a:bodyPr/>
          <a:lstStyle/>
          <a:p>
            <a:pPr>
              <a:defRPr sz="700">
                <a:solidFill>
                  <a:srgbClr val="8EA9C1"/>
                </a:solidFill>
                <a:latin typeface="Aptos"/>
                <a:ea typeface="Aptos"/>
                <a:cs typeface="Aptos"/>
              </a:defRPr>
            </a:pPr>
            <a:endParaRPr lang="en-US"/>
          </a:p>
        </c:txPr>
        <c:crossAx val="878546063"/>
        <c:crosses val="autoZero"/>
        <c:crossBetween val="between"/>
      </c:valAx>
      <c:spPr>
        <a:solidFill>
          <a:srgbClr val="0B2238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txPr>
        <a:bodyPr/>
        <a:lstStyle/>
        <a:p>
          <a:pPr>
            <a:defRPr sz="700">
              <a:solidFill>
                <a:srgbClr val="8EA9C1"/>
              </a:solidFill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B2238"/>
    </a:solidFill>
    <a:ln w="11430">
      <a:solidFill>
        <a:srgbClr val="1D5C8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11</xdr:row>
      <xdr:rowOff>25400</xdr:rowOff>
    </xdr:from>
    <xdr:to>
      <xdr:col>4</xdr:col>
      <xdr:colOff>812800</xdr:colOff>
      <xdr:row>14</xdr:row>
      <xdr:rowOff>155575</xdr:rowOff>
    </xdr:to>
    <xdr:sp macro="RefreshSelectedReport" textlink="">
      <xdr:nvSpPr>
        <xdr:cNvPr id="2" name="btnRefreshSelected">
          <a:extLst>
            <a:ext uri="{FF2B5EF4-FFF2-40B4-BE49-F238E27FC236}">
              <a16:creationId xmlns:a16="http://schemas.microsoft.com/office/drawing/2014/main" id="{BA3C158A-305C-1881-9195-0A9379CF2D8B}"/>
            </a:ext>
          </a:extLst>
        </xdr:cNvPr>
        <xdr:cNvSpPr/>
      </xdr:nvSpPr>
      <xdr:spPr>
        <a:xfrm>
          <a:off x="215900" y="2216150"/>
          <a:ext cx="3302000" cy="673100"/>
        </a:xfrm>
        <a:prstGeom prst="roundRect">
          <a:avLst/>
        </a:prstGeom>
        <a:solidFill>
          <a:srgbClr val="0C3A2C"/>
        </a:solidFill>
        <a:ln w="15875" cap="flat" cmpd="sng" algn="ctr">
          <a:solidFill>
            <a:srgbClr val="2ED47A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▶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RUN SELECTED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Refresh one AFO report</a:t>
          </a:r>
        </a:p>
      </xdr:txBody>
    </xdr:sp>
    <xdr:clientData/>
  </xdr:twoCellAnchor>
  <xdr:twoCellAnchor>
    <xdr:from>
      <xdr:col>1</xdr:col>
      <xdr:colOff>25400</xdr:colOff>
      <xdr:row>16</xdr:row>
      <xdr:rowOff>25400</xdr:rowOff>
    </xdr:from>
    <xdr:to>
      <xdr:col>4</xdr:col>
      <xdr:colOff>812800</xdr:colOff>
      <xdr:row>19</xdr:row>
      <xdr:rowOff>155575</xdr:rowOff>
    </xdr:to>
    <xdr:sp macro="RunActiveBatch" textlink="">
      <xdr:nvSpPr>
        <xdr:cNvPr id="3" name="btnRunBatch">
          <a:extLst>
            <a:ext uri="{FF2B5EF4-FFF2-40B4-BE49-F238E27FC236}">
              <a16:creationId xmlns:a16="http://schemas.microsoft.com/office/drawing/2014/main" id="{AE1A56DB-F41B-7B7E-4929-832DBE86DAD8}"/>
            </a:ext>
          </a:extLst>
        </xdr:cNvPr>
        <xdr:cNvSpPr/>
      </xdr:nvSpPr>
      <xdr:spPr>
        <a:xfrm>
          <a:off x="215900" y="3121025"/>
          <a:ext cx="3302000" cy="673100"/>
        </a:xfrm>
        <a:prstGeom prst="roundRect">
          <a:avLst/>
        </a:prstGeom>
        <a:solidFill>
          <a:srgbClr val="0C3153"/>
        </a:solidFill>
        <a:ln w="15875" cap="flat" cmpd="sng" algn="ctr">
          <a:solidFill>
            <a:srgbClr val="168BF2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algn="l"/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▶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RUN ACTIVE BATCH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Refresh and export every active report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4</xdr:col>
      <xdr:colOff>812800</xdr:colOff>
      <xdr:row>24</xdr:row>
      <xdr:rowOff>155575</xdr:rowOff>
    </xdr:to>
    <xdr:sp macro="ValidateTemplate" textlink="">
      <xdr:nvSpPr>
        <xdr:cNvPr id="4" name="btnValidate">
          <a:extLst>
            <a:ext uri="{FF2B5EF4-FFF2-40B4-BE49-F238E27FC236}">
              <a16:creationId xmlns:a16="http://schemas.microsoft.com/office/drawing/2014/main" id="{04241357-E47B-1F07-561C-FFFD25B1FF32}"/>
            </a:ext>
          </a:extLst>
        </xdr:cNvPr>
        <xdr:cNvSpPr/>
      </xdr:nvSpPr>
      <xdr:spPr>
        <a:xfrm>
          <a:off x="215900" y="4025900"/>
          <a:ext cx="3302000" cy="777875"/>
        </a:xfrm>
        <a:prstGeom prst="roundRect">
          <a:avLst/>
        </a:prstGeom>
        <a:solidFill>
          <a:srgbClr val="102C48"/>
        </a:solidFill>
        <a:ln w="15875" cap="flat" cmpd="sng" algn="ctr">
          <a:solidFill>
            <a:srgbClr val="8EA9C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☑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VALIDATE TEMPLATE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Check aliases, variables and setup</a:t>
          </a:r>
        </a:p>
      </xdr:txBody>
    </xdr:sp>
    <xdr:clientData/>
  </xdr:twoCellAnchor>
  <xdr:twoCellAnchor>
    <xdr:from>
      <xdr:col>1</xdr:col>
      <xdr:colOff>25400</xdr:colOff>
      <xdr:row>26</xdr:row>
      <xdr:rowOff>25400</xdr:rowOff>
    </xdr:from>
    <xdr:to>
      <xdr:col>4</xdr:col>
      <xdr:colOff>812800</xdr:colOff>
      <xdr:row>29</xdr:row>
      <xdr:rowOff>250825</xdr:rowOff>
    </xdr:to>
    <xdr:sp macro="ExportSelectedReport" textlink="">
      <xdr:nvSpPr>
        <xdr:cNvPr id="5" name="btnExportSelected">
          <a:extLst>
            <a:ext uri="{FF2B5EF4-FFF2-40B4-BE49-F238E27FC236}">
              <a16:creationId xmlns:a16="http://schemas.microsoft.com/office/drawing/2014/main" id="{EF2FCE62-0864-E46E-1ACE-A8CE68DC4D82}"/>
            </a:ext>
          </a:extLst>
        </xdr:cNvPr>
        <xdr:cNvSpPr/>
      </xdr:nvSpPr>
      <xdr:spPr>
        <a:xfrm>
          <a:off x="215900" y="5130800"/>
          <a:ext cx="3302000" cy="1054100"/>
        </a:xfrm>
        <a:prstGeom prst="roundRect">
          <a:avLst/>
        </a:prstGeom>
        <a:solidFill>
          <a:srgbClr val="3B3009"/>
        </a:solidFill>
        <a:ln w="15875" cap="flat" cmpd="sng" algn="ctr">
          <a:solidFill>
            <a:srgbClr val="F7B73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⇩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EXPORT SELECTED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Create PDF, XLSX or CSV outputs</a:t>
          </a:r>
        </a:p>
      </xdr:txBody>
    </xdr:sp>
    <xdr:clientData/>
  </xdr:twoCellAnchor>
  <xdr:twoCellAnchor>
    <xdr:from>
      <xdr:col>1</xdr:col>
      <xdr:colOff>25400</xdr:colOff>
      <xdr:row>31</xdr:row>
      <xdr:rowOff>25400</xdr:rowOff>
    </xdr:from>
    <xdr:to>
      <xdr:col>2</xdr:col>
      <xdr:colOff>812800</xdr:colOff>
      <xdr:row>33</xdr:row>
      <xdr:rowOff>155575</xdr:rowOff>
    </xdr:to>
    <xdr:sp macro="OpenExportFolder" textlink="">
      <xdr:nvSpPr>
        <xdr:cNvPr id="6" name="btnOpenExports">
          <a:extLst>
            <a:ext uri="{FF2B5EF4-FFF2-40B4-BE49-F238E27FC236}">
              <a16:creationId xmlns:a16="http://schemas.microsoft.com/office/drawing/2014/main" id="{7B80DC19-BC56-A4BC-94A3-7CC48683A4FF}"/>
            </a:ext>
          </a:extLst>
        </xdr:cNvPr>
        <xdr:cNvSpPr/>
      </xdr:nvSpPr>
      <xdr:spPr>
        <a:xfrm>
          <a:off x="215900" y="6511925"/>
          <a:ext cx="1625600" cy="596900"/>
        </a:xfrm>
        <a:prstGeom prst="roundRect">
          <a:avLst/>
        </a:prstGeom>
        <a:solidFill>
          <a:srgbClr val="102C48"/>
        </a:solidFill>
        <a:ln w="15875" cap="flat" cmpd="sng" algn="ctr">
          <a:solidFill>
            <a:srgbClr val="8EA9C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▣</a:t>
          </a:r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  OPEN EXPORTS</a:t>
          </a:r>
        </a:p>
        <a:p>
          <a:pPr algn="l"/>
          <a:r>
            <a:rPr lang="en-GB" sz="1000" b="1">
              <a:solidFill>
                <a:srgbClr val="FFFFFF"/>
              </a:solidFill>
              <a:latin typeface="Aptos" panose="020B0004020202020204" pitchFamily="34" charset="0"/>
            </a:rPr>
            <a:t>Relative output folder</a:t>
          </a:r>
        </a:p>
      </xdr:txBody>
    </xdr:sp>
    <xdr:clientData/>
  </xdr:twoCellAnchor>
  <xdr:twoCellAnchor>
    <xdr:from>
      <xdr:col>3</xdr:col>
      <xdr:colOff>25400</xdr:colOff>
      <xdr:row>31</xdr:row>
      <xdr:rowOff>25400</xdr:rowOff>
    </xdr:from>
    <xdr:to>
      <xdr:col>4</xdr:col>
      <xdr:colOff>812800</xdr:colOff>
      <xdr:row>33</xdr:row>
      <xdr:rowOff>155575</xdr:rowOff>
    </xdr:to>
    <xdr:sp macro="ResetWorkspace" textlink="">
      <xdr:nvSpPr>
        <xdr:cNvPr id="7" name="btnResetWorkspace">
          <a:extLst>
            <a:ext uri="{FF2B5EF4-FFF2-40B4-BE49-F238E27FC236}">
              <a16:creationId xmlns:a16="http://schemas.microsoft.com/office/drawing/2014/main" id="{FD665858-F093-6D1D-7DCD-298618F76068}"/>
            </a:ext>
          </a:extLst>
        </xdr:cNvPr>
        <xdr:cNvSpPr/>
      </xdr:nvSpPr>
      <xdr:spPr>
        <a:xfrm>
          <a:off x="1892300" y="6511925"/>
          <a:ext cx="1625600" cy="596900"/>
        </a:xfrm>
        <a:prstGeom prst="roundRect">
          <a:avLst/>
        </a:prstGeom>
        <a:solidFill>
          <a:srgbClr val="102C48"/>
        </a:solidFill>
        <a:ln w="15875" cap="flat" cmpd="sng" algn="ctr">
          <a:solidFill>
            <a:srgbClr val="8EA9C1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RESET WORKSPACE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Clear run state</a:t>
          </a:r>
          <a:endParaRPr lang="en-GB" sz="1000" b="1">
            <a:solidFill>
              <a:srgbClr val="FFFFFF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</xdr:col>
      <xdr:colOff>25400</xdr:colOff>
      <xdr:row>37</xdr:row>
      <xdr:rowOff>25400</xdr:rowOff>
    </xdr:from>
    <xdr:to>
      <xdr:col>4</xdr:col>
      <xdr:colOff>812800</xdr:colOff>
      <xdr:row>39</xdr:row>
      <xdr:rowOff>65171</xdr:rowOff>
    </xdr:to>
    <xdr:sp macro="OpenCodeLibrary" textlink="">
      <xdr:nvSpPr>
        <xdr:cNvPr id="8" name="btnCodeLibrary">
          <a:extLst>
            <a:ext uri="{FF2B5EF4-FFF2-40B4-BE49-F238E27FC236}">
              <a16:creationId xmlns:a16="http://schemas.microsoft.com/office/drawing/2014/main" id="{7460B315-9671-3EDF-DF46-87C883CE61BD}"/>
            </a:ext>
          </a:extLst>
        </xdr:cNvPr>
        <xdr:cNvSpPr/>
      </xdr:nvSpPr>
      <xdr:spPr>
        <a:xfrm>
          <a:off x="215900" y="7946189"/>
          <a:ext cx="3298992" cy="485943"/>
        </a:xfrm>
        <a:prstGeom prst="roundRect">
          <a:avLst/>
        </a:prstGeom>
        <a:solidFill>
          <a:srgbClr val="0C3153"/>
        </a:solidFill>
        <a:ln w="15875" cap="flat" cmpd="sng" algn="ctr">
          <a:solidFill>
            <a:srgbClr val="168BF2">
              <a:alpha val="28000"/>
            </a:srgbClr>
          </a:solidFill>
          <a:prstDash val="solid"/>
          <a:round/>
          <a:headEnd type="none" w="med" len="med"/>
          <a:tailEnd type="none" w="med" len="med"/>
        </a:ln>
        <a:effectLst>
          <a:outerShdw blurRad="50800" dist="28398" dir="3806086" rotWithShape="0">
            <a:srgbClr val="020914">
              <a:alpha val="6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63500" rIns="127000" bIns="6350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OPEN CODE LIBRARY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="1">
              <a:solidFill>
                <a:srgbClr val="FFFFFF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Reusable AFO calls</a:t>
          </a:r>
          <a:endParaRPr lang="en-GB" sz="1000" b="1">
            <a:solidFill>
              <a:srgbClr val="FFFFFF"/>
            </a:solidFill>
            <a:latin typeface="Aptos" panose="020B0004020202020204" pitchFamily="34" charset="0"/>
          </a:endParaRPr>
        </a:p>
      </xdr:txBody>
    </xdr:sp>
    <xdr:clientData/>
  </xdr:twoCellAnchor>
  <xdr:twoCellAnchor editAs="oneCell">
    <xdr:from>
      <xdr:col>1</xdr:col>
      <xdr:colOff>50800</xdr:colOff>
      <xdr:row>1</xdr:row>
      <xdr:rowOff>25400</xdr:rowOff>
    </xdr:from>
    <xdr:to>
      <xdr:col>3</xdr:col>
      <xdr:colOff>448034</xdr:colOff>
      <xdr:row>4</xdr:row>
      <xdr:rowOff>155575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80C2608-508E-47E4-998D-B2B53D588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" y="120650"/>
          <a:ext cx="2073634" cy="109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38100</xdr:colOff>
      <xdr:row>24</xdr:row>
      <xdr:rowOff>38100</xdr:rowOff>
    </xdr:from>
    <xdr:to>
      <xdr:col>17</xdr:col>
      <xdr:colOff>876300</xdr:colOff>
      <xdr:row>29</xdr:row>
      <xdr:rowOff>238125</xdr:rowOff>
    </xdr:to>
    <xdr:graphicFrame macro="">
      <xdr:nvGraphicFramePr>
        <xdr:cNvPr id="13" name="chtAutomationCoverage">
          <a:extLst>
            <a:ext uri="{FF2B5EF4-FFF2-40B4-BE49-F238E27FC236}">
              <a16:creationId xmlns:a16="http://schemas.microsoft.com/office/drawing/2014/main" id="{958E2A6E-2C33-8501-4EEB-B42853427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38100</xdr:colOff>
      <xdr:row>30</xdr:row>
      <xdr:rowOff>38100</xdr:rowOff>
    </xdr:from>
    <xdr:to>
      <xdr:col>17</xdr:col>
      <xdr:colOff>876300</xdr:colOff>
      <xdr:row>35</xdr:row>
      <xdr:rowOff>228600</xdr:rowOff>
    </xdr:to>
    <xdr:graphicFrame macro="">
      <xdr:nvGraphicFramePr>
        <xdr:cNvPr id="14" name="chtOutcomeMix">
          <a:extLst>
            <a:ext uri="{FF2B5EF4-FFF2-40B4-BE49-F238E27FC236}">
              <a16:creationId xmlns:a16="http://schemas.microsoft.com/office/drawing/2014/main" id="{2271F36A-E452-3411-7898-6650B2EC5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38100</xdr:colOff>
      <xdr:row>36</xdr:row>
      <xdr:rowOff>38100</xdr:rowOff>
    </xdr:from>
    <xdr:to>
      <xdr:col>17</xdr:col>
      <xdr:colOff>876300</xdr:colOff>
      <xdr:row>41</xdr:row>
      <xdr:rowOff>142875</xdr:rowOff>
    </xdr:to>
    <xdr:graphicFrame macro="">
      <xdr:nvGraphicFramePr>
        <xdr:cNvPr id="15" name="chtDurationTrend">
          <a:extLst>
            <a:ext uri="{FF2B5EF4-FFF2-40B4-BE49-F238E27FC236}">
              <a16:creationId xmlns:a16="http://schemas.microsoft.com/office/drawing/2014/main" id="{566410F7-44BE-244B-377D-9A394EB42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1275522</xdr:colOff>
      <xdr:row>0</xdr:row>
      <xdr:rowOff>82826</xdr:rowOff>
    </xdr:from>
    <xdr:to>
      <xdr:col>12</xdr:col>
      <xdr:colOff>2244587</xdr:colOff>
      <xdr:row>3</xdr:row>
      <xdr:rowOff>173934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0302665-FC5B-B1DD-D5EA-96A9B012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7979" y="82826"/>
          <a:ext cx="969065" cy="9690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134472</xdr:colOff>
      <xdr:row>13</xdr:row>
      <xdr:rowOff>168088</xdr:rowOff>
    </xdr:from>
    <xdr:to>
      <xdr:col>14</xdr:col>
      <xdr:colOff>152401</xdr:colOff>
      <xdr:row>26</xdr:row>
      <xdr:rowOff>100853</xdr:rowOff>
    </xdr:to>
    <xdr:graphicFrame macro="">
      <xdr:nvGraphicFramePr>
        <xdr:cNvPr id="3" name="chtRevenuePlan">
          <a:extLst>
            <a:ext uri="{FF2B5EF4-FFF2-40B4-BE49-F238E27FC236}">
              <a16:creationId xmlns:a16="http://schemas.microsoft.com/office/drawing/2014/main" id="{92F05F28-F006-1B94-3395-6642717D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23</xdr:row>
      <xdr:rowOff>134471</xdr:rowOff>
    </xdr:from>
    <xdr:to>
      <xdr:col>7</xdr:col>
      <xdr:colOff>0</xdr:colOff>
      <xdr:row>39</xdr:row>
      <xdr:rowOff>100854</xdr:rowOff>
    </xdr:to>
    <xdr:graphicFrame macro="">
      <xdr:nvGraphicFramePr>
        <xdr:cNvPr id="4" name="chtCostPlan">
          <a:extLst>
            <a:ext uri="{FF2B5EF4-FFF2-40B4-BE49-F238E27FC236}">
              <a16:creationId xmlns:a16="http://schemas.microsoft.com/office/drawing/2014/main" id="{CF3E2809-F5DC-970E-A161-807315E25B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134472</xdr:colOff>
      <xdr:row>27</xdr:row>
      <xdr:rowOff>44824</xdr:rowOff>
    </xdr:from>
    <xdr:to>
      <xdr:col>14</xdr:col>
      <xdr:colOff>152401</xdr:colOff>
      <xdr:row>39</xdr:row>
      <xdr:rowOff>112059</xdr:rowOff>
    </xdr:to>
    <xdr:graphicFrame macro="">
      <xdr:nvGraphicFramePr>
        <xdr:cNvPr id="5" name="chtVariancePercent">
          <a:extLst>
            <a:ext uri="{FF2B5EF4-FFF2-40B4-BE49-F238E27FC236}">
              <a16:creationId xmlns:a16="http://schemas.microsoft.com/office/drawing/2014/main" id="{700076EF-6346-A261-2AE2-CED8949FB4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694765</xdr:colOff>
      <xdr:row>1</xdr:row>
      <xdr:rowOff>11208</xdr:rowOff>
    </xdr:from>
    <xdr:to>
      <xdr:col>9</xdr:col>
      <xdr:colOff>649942</xdr:colOff>
      <xdr:row>5</xdr:row>
      <xdr:rowOff>89650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DC70E0-30C6-4A29-AE18-101EDE975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3618" y="112061"/>
          <a:ext cx="795618" cy="795618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eports" displayName="tblReports" ref="B20:L26" totalsRowShown="0" headerRowDxfId="58" dataDxfId="56" headerRowBorderDxfId="57">
  <tableColumns count="11">
    <tableColumn id="1" xr3:uid="{00000000-0010-0000-0000-000001000000}" name="Active" dataDxfId="55"/>
    <tableColumn id="2" xr3:uid="{00000000-0010-0000-0000-000002000000}" name="Report ID" dataDxfId="54"/>
    <tableColumn id="3" xr3:uid="{00000000-0010-0000-0000-000003000000}" name="Report Name" dataDxfId="53"/>
    <tableColumn id="4" xr3:uid="{00000000-0010-0000-0000-000004000000}" name="Data Source" dataDxfId="52"/>
    <tableColumn id="5" xr3:uid="{00000000-0010-0000-0000-000005000000}" name="Target Sheet" dataDxfId="51"/>
    <tableColumn id="6" xr3:uid="{00000000-0010-0000-0000-000006000000}" name="Export Formats" dataDxfId="50"/>
    <tableColumn id="7" xr3:uid="{00000000-0010-0000-0000-000007000000}" name="Simulation Result" dataDxfId="49"/>
    <tableColumn id="8" xr3:uid="{00000000-0010-0000-0000-000008000000}" name="Status" dataDxfId="48"/>
    <tableColumn id="9" xr3:uid="{00000000-0010-0000-0000-000009000000}" name="Progress" dataDxfId="47"/>
    <tableColumn id="10" xr3:uid="{00000000-0010-0000-0000-00000A000000}" name="Last Run" dataDxfId="46"/>
    <tableColumn id="11" xr3:uid="{00000000-0010-0000-0000-00000B000000}" name="Result Detail" dataDxfId="45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mpts" displayName="tblPrompts" ref="B30:J37" totalsRowShown="0" headerRowDxfId="44" dataDxfId="42" headerRowBorderDxfId="43">
  <tableColumns count="9">
    <tableColumn id="1" xr3:uid="{00000000-0010-0000-0100-000001000000}" name="Active" dataDxfId="41"/>
    <tableColumn id="2" xr3:uid="{00000000-0010-0000-0100-000002000000}" name="Report ID" dataDxfId="40"/>
    <tableColumn id="3" xr3:uid="{00000000-0010-0000-0100-000003000000}" name="Parameter" dataDxfId="39"/>
    <tableColumn id="4" xr3:uid="{00000000-0010-0000-0100-000004000000}" name="Data Source" dataDxfId="38"/>
    <tableColumn id="5" xr3:uid="{00000000-0010-0000-0100-000005000000}" name="AFO Variable" dataDxfId="37"/>
    <tableColumn id="6" xr3:uid="{00000000-0010-0000-0100-000006000000}" name="Rule" dataDxfId="36"/>
    <tableColumn id="7" xr3:uid="{00000000-0010-0000-0100-000007000000}" name="Value" dataDxfId="35"/>
    <tableColumn id="8" xr3:uid="{00000000-0010-0000-0100-000008000000}" name="Required" dataDxfId="34"/>
    <tableColumn id="9" xr3:uid="{00000000-0010-0000-0100-000009000000}" name="Preview" dataDxfId="33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B41:C49" totalsRowShown="0" headerRowDxfId="32" dataDxfId="30" headerRowBorderDxfId="31">
  <tableColumns count="2">
    <tableColumn id="1" xr3:uid="{00000000-0010-0000-0200-000001000000}" name="Date" dataDxfId="29"/>
    <tableColumn id="2" xr3:uid="{00000000-0010-0000-0200-000002000000}" name="Holiday" dataDxfId="28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RunHistory" displayName="tblRunHistory" ref="B9:I24" totalsRowShown="0" headerRowDxfId="21" dataDxfId="19" headerRowBorderDxfId="20">
  <tableColumns count="8">
    <tableColumn id="1" xr3:uid="{00000000-0010-0000-0300-000001000000}" name="Timestamp" dataDxfId="18"/>
    <tableColumn id="2" xr3:uid="{00000000-0010-0000-0300-000002000000}" name="Report ID" dataDxfId="17"/>
    <tableColumn id="3" xr3:uid="{00000000-0010-0000-0300-000003000000}" name="Report Name" dataDxfId="16"/>
    <tableColumn id="4" xr3:uid="{00000000-0010-0000-0300-000004000000}" name="Action" dataDxfId="15"/>
    <tableColumn id="5" xr3:uid="{00000000-0010-0000-0300-000005000000}" name="Status" dataDxfId="14"/>
    <tableColumn id="6" xr3:uid="{00000000-0010-0000-0300-000006000000}" name="Duration (s)" dataDxfId="13"/>
    <tableColumn id="7" xr3:uid="{00000000-0010-0000-0300-000007000000}" name="Output" dataDxfId="12"/>
    <tableColumn id="8" xr3:uid="{00000000-0010-0000-0300-000008000000}" name="Detail" dataDxfId="11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erformanceReport" displayName="tblPerformanceReport" ref="B15:G23" totalsRowShown="0" headerRowDxfId="8" dataDxfId="6" headerRowBorderDxfId="7">
  <tableColumns count="6">
    <tableColumn id="1" xr3:uid="{00000000-0010-0000-0400-000001000000}" name="Business Unit" dataDxfId="5"/>
    <tableColumn id="2" xr3:uid="{00000000-0010-0000-0400-000002000000}" name="Account Group" dataDxfId="4"/>
    <tableColumn id="3" xr3:uid="{00000000-0010-0000-0400-000003000000}" name="Actual" dataDxfId="3"/>
    <tableColumn id="4" xr3:uid="{00000000-0010-0000-0400-000004000000}" name="Budget" dataDxfId="2"/>
    <tableColumn id="5" xr3:uid="{00000000-0010-0000-0400-000005000000}" name="Variance" dataDxfId="1"/>
    <tableColumn id="6" xr3:uid="{00000000-0010-0000-0400-000006000000}" name="Variance %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aadir-dev-portfolio.github.i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A6ED1"/>
    <pageSetUpPr fitToPage="1"/>
  </sheetPr>
  <dimension ref="A1:U48"/>
  <sheetViews>
    <sheetView tabSelected="1" zoomScale="80" zoomScaleNormal="80" workbookViewId="0">
      <selection activeCell="AB38" sqref="AB38"/>
    </sheetView>
  </sheetViews>
  <sheetFormatPr defaultRowHeight="14.25"/>
  <cols>
    <col min="1" max="1" width="2.5" customWidth="1"/>
    <col min="2" max="5" width="11" customWidth="1"/>
    <col min="6" max="6" width="2.5" customWidth="1"/>
    <col min="7" max="7" width="8" customWidth="1"/>
    <col min="8" max="8" width="26.875" customWidth="1"/>
    <col min="9" max="10" width="9" customWidth="1"/>
    <col min="11" max="11" width="19.5" customWidth="1"/>
    <col min="12" max="12" width="18.25" customWidth="1"/>
    <col min="13" max="13" width="31.625" customWidth="1"/>
    <col min="14" max="14" width="12" customWidth="1"/>
    <col min="15" max="18" width="13.125" customWidth="1"/>
    <col min="20" max="23" width="0" hidden="1" customWidth="1"/>
  </cols>
  <sheetData>
    <row r="1" spans="1:21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1" ht="30.95" customHeight="1">
      <c r="A2" s="2"/>
      <c r="B2" s="5"/>
      <c r="C2" s="5"/>
      <c r="D2" s="5"/>
      <c r="E2" s="101" t="s">
        <v>0</v>
      </c>
      <c r="F2" s="101"/>
      <c r="G2" s="101"/>
      <c r="H2" s="101"/>
      <c r="I2" s="101"/>
      <c r="J2" s="101"/>
      <c r="K2" s="101"/>
      <c r="L2" s="101"/>
      <c r="M2" s="101"/>
      <c r="N2" s="93" t="s">
        <v>1</v>
      </c>
      <c r="O2" s="94"/>
      <c r="P2" s="94"/>
      <c r="Q2" s="94"/>
      <c r="R2" s="95"/>
    </row>
    <row r="3" spans="1:21" ht="30.95" customHeight="1">
      <c r="A3" s="2"/>
      <c r="B3" s="5"/>
      <c r="C3" s="5"/>
      <c r="D3" s="5"/>
      <c r="E3" s="101"/>
      <c r="F3" s="101"/>
      <c r="G3" s="101"/>
      <c r="H3" s="101"/>
      <c r="I3" s="101"/>
      <c r="J3" s="101"/>
      <c r="K3" s="101"/>
      <c r="L3" s="101"/>
      <c r="M3" s="101"/>
      <c r="N3" s="102" t="s">
        <v>217</v>
      </c>
      <c r="O3" s="103"/>
      <c r="P3" s="103"/>
      <c r="Q3" s="103"/>
      <c r="R3" s="104"/>
      <c r="U3">
        <f>COUNTIF(Configuration!$B$21:$B$26,TRUE)</f>
        <v>5</v>
      </c>
    </row>
    <row r="4" spans="1:21" ht="14.25" customHeight="1">
      <c r="A4" s="2"/>
      <c r="B4" s="6"/>
      <c r="C4" s="6"/>
      <c r="D4" s="6"/>
      <c r="E4" s="53" t="s">
        <v>224</v>
      </c>
      <c r="F4" s="53"/>
      <c r="G4" s="53"/>
      <c r="H4" s="53"/>
      <c r="I4" s="53"/>
      <c r="J4" s="53"/>
      <c r="K4" s="53"/>
      <c r="L4" s="53"/>
      <c r="M4" s="53"/>
      <c r="N4" s="7"/>
      <c r="O4" s="7"/>
      <c r="P4" s="7"/>
      <c r="Q4" s="7"/>
      <c r="R4" s="7"/>
      <c r="S4" s="79"/>
      <c r="U4">
        <f>COUNTIF(Configuration!$B$21:$B$26,FALSE)</f>
        <v>1</v>
      </c>
    </row>
    <row r="5" spans="1:21">
      <c r="A5" s="2"/>
      <c r="B5" s="3"/>
      <c r="C5" s="3"/>
      <c r="D5" s="3"/>
      <c r="E5" s="53" t="s">
        <v>252</v>
      </c>
      <c r="F5" s="53"/>
      <c r="G5" s="53"/>
      <c r="H5" s="53"/>
      <c r="I5" s="53"/>
      <c r="J5" s="53"/>
      <c r="K5" s="53"/>
      <c r="L5" s="53"/>
      <c r="M5" s="54" t="s">
        <v>253</v>
      </c>
      <c r="N5" s="96" t="s">
        <v>2</v>
      </c>
      <c r="O5" s="97"/>
      <c r="P5" s="98" t="s">
        <v>3</v>
      </c>
      <c r="Q5" s="99"/>
      <c r="R5" s="100"/>
    </row>
    <row r="6" spans="1:21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1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U7">
        <f>COUNTIF(Configuration!$I$21:$I$26,"Success")</f>
        <v>4</v>
      </c>
    </row>
    <row r="8" spans="1:21">
      <c r="A8" s="2"/>
      <c r="B8" s="3"/>
      <c r="C8" s="3"/>
      <c r="D8" s="3"/>
      <c r="E8" s="3"/>
      <c r="F8" s="3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U8">
        <f>COUNTIF(Configuration!$I$21:$I$26,"Warning")</f>
        <v>1</v>
      </c>
    </row>
    <row r="9" spans="1:21" ht="14.25" customHeight="1">
      <c r="A9" s="2"/>
      <c r="B9" s="119" t="s">
        <v>4</v>
      </c>
      <c r="C9" s="119"/>
      <c r="D9" s="119"/>
      <c r="E9" s="119"/>
      <c r="F9" s="119"/>
      <c r="G9" s="86" t="s">
        <v>5</v>
      </c>
      <c r="H9" s="86"/>
      <c r="I9" s="86"/>
      <c r="J9" s="86"/>
      <c r="K9" s="86"/>
      <c r="L9" s="86" t="s">
        <v>6</v>
      </c>
      <c r="M9" s="86"/>
      <c r="N9" s="86"/>
      <c r="O9" s="86"/>
      <c r="P9" s="86"/>
      <c r="Q9" s="90">
        <v>1</v>
      </c>
      <c r="R9" s="91"/>
      <c r="U9">
        <f>COUNTIF(Configuration!$I$21:$I$26,"Failed")</f>
        <v>0</v>
      </c>
    </row>
    <row r="10" spans="1:21" ht="14.25" customHeight="1">
      <c r="A10" s="2"/>
      <c r="B10" s="3"/>
      <c r="C10" s="3"/>
      <c r="D10" s="3"/>
      <c r="E10" s="3"/>
      <c r="F10" s="3"/>
      <c r="G10" s="87" t="s">
        <v>214</v>
      </c>
      <c r="H10" s="88"/>
      <c r="I10" s="88"/>
      <c r="J10" s="88"/>
      <c r="K10" s="88"/>
      <c r="L10" s="55"/>
      <c r="M10" s="55"/>
      <c r="N10" s="55"/>
      <c r="O10" s="55"/>
      <c r="P10" s="55"/>
      <c r="Q10" s="92"/>
      <c r="R10" s="92"/>
      <c r="U10">
        <f>MAX(0,COUNTIF(Configuration!$B$21:$B$26,TRUE)-SUM(U7:U9))</f>
        <v>0</v>
      </c>
    </row>
    <row r="11" spans="1:21" ht="14.25" customHeight="1">
      <c r="A11" s="2"/>
      <c r="B11" s="3"/>
      <c r="C11" s="3"/>
      <c r="D11" s="3"/>
      <c r="E11" s="3"/>
      <c r="F11" s="3"/>
      <c r="G11" s="88"/>
      <c r="H11" s="88"/>
      <c r="I11" s="88"/>
      <c r="J11" s="88"/>
      <c r="K11" s="88"/>
      <c r="L11" s="55"/>
      <c r="M11" s="55"/>
      <c r="N11" s="55"/>
      <c r="O11" s="55"/>
      <c r="P11" s="55"/>
      <c r="Q11" s="55"/>
      <c r="R11" s="55"/>
    </row>
    <row r="12" spans="1:21" ht="14.25" customHeight="1">
      <c r="A12" s="2"/>
      <c r="B12" s="3"/>
      <c r="C12" s="3"/>
      <c r="D12" s="3"/>
      <c r="E12" s="3"/>
      <c r="F12" s="3"/>
      <c r="G12" s="88"/>
      <c r="H12" s="88"/>
      <c r="I12" s="88"/>
      <c r="J12" s="88"/>
      <c r="K12" s="88"/>
      <c r="L12" s="55"/>
      <c r="M12" s="55"/>
      <c r="N12" s="55"/>
      <c r="O12" s="55"/>
      <c r="P12" s="55"/>
      <c r="Q12" s="55"/>
      <c r="R12" s="55"/>
    </row>
    <row r="13" spans="1:21">
      <c r="A13" s="2"/>
      <c r="B13" s="3"/>
      <c r="C13" s="3"/>
      <c r="D13" s="3"/>
      <c r="E13" s="3"/>
      <c r="F13" s="3"/>
      <c r="G13" s="89" t="s">
        <v>215</v>
      </c>
      <c r="H13" s="89"/>
      <c r="I13" s="89"/>
      <c r="J13" s="89"/>
      <c r="K13" s="89"/>
      <c r="L13" s="55"/>
      <c r="M13" s="55"/>
      <c r="N13" s="55"/>
      <c r="O13" s="55"/>
      <c r="P13" s="55"/>
      <c r="Q13" s="55"/>
      <c r="R13" s="55"/>
      <c r="T13" t="s">
        <v>21</v>
      </c>
      <c r="U13" t="s">
        <v>185</v>
      </c>
    </row>
    <row r="14" spans="1:21">
      <c r="A14" s="2"/>
      <c r="B14" s="3"/>
      <c r="C14" s="3"/>
      <c r="D14" s="3"/>
      <c r="E14" s="3"/>
      <c r="F14" s="3"/>
      <c r="G14" s="56"/>
      <c r="H14" s="57"/>
      <c r="I14" s="58"/>
      <c r="J14" s="59"/>
      <c r="K14" s="60"/>
      <c r="L14" s="61"/>
      <c r="M14" s="62"/>
      <c r="N14" s="63"/>
      <c r="O14" s="64"/>
      <c r="P14" s="65"/>
      <c r="Q14" s="66"/>
      <c r="R14" s="67"/>
      <c r="T14" s="9" cm="1">
        <f t="array" ref="T14">IF(1&lt;=MAX(0,8-ROWS(tblRunHistory[Timestamp])),"",INDEX(tblRunHistory[Timestamp],ROWS(tblRunHistory[Timestamp])-8+1))</f>
        <v>46249.870347222219</v>
      </c>
      <c r="U14" cm="1">
        <f t="array" ref="U14">IF(T14="","",INDEX(tblRunHistory[Duration (s)],ROWS(tblRunHistory[Duration (s)])-8+1))</f>
        <v>0</v>
      </c>
    </row>
    <row r="15" spans="1:21">
      <c r="A15" s="2"/>
      <c r="B15" s="3"/>
      <c r="C15" s="3"/>
      <c r="D15" s="3"/>
      <c r="E15" s="3"/>
      <c r="F15" s="3"/>
      <c r="G15" s="56"/>
      <c r="H15" s="57"/>
      <c r="I15" s="58"/>
      <c r="J15" s="59"/>
      <c r="K15" s="60"/>
      <c r="L15" s="61"/>
      <c r="M15" s="62"/>
      <c r="N15" s="63"/>
      <c r="O15" s="64"/>
      <c r="P15" s="65"/>
      <c r="Q15" s="66"/>
      <c r="R15" s="67"/>
      <c r="T15" s="9" cm="1">
        <f t="array" ref="T15">IF(2&lt;=MAX(0,8-ROWS(tblRunHistory[Timestamp])),"",INDEX(tblRunHistory[Timestamp],ROWS(tblRunHistory[Timestamp])-8+2))</f>
        <v>46249.870347222219</v>
      </c>
      <c r="U15" cm="1">
        <f t="array" ref="U15">IF(T15="","",INDEX(tblRunHistory[Duration (s)],ROWS(tblRunHistory[Duration (s)])-8+2))</f>
        <v>0</v>
      </c>
    </row>
    <row r="16" spans="1:21">
      <c r="A16" s="2"/>
      <c r="B16" s="3"/>
      <c r="C16" s="3"/>
      <c r="D16" s="3"/>
      <c r="E16" s="3"/>
      <c r="F16" s="3"/>
      <c r="G16" s="85" t="s">
        <v>213</v>
      </c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T16" s="9" cm="1">
        <f t="array" ref="T16">IF(3&lt;=MAX(0,8-ROWS(tblRunHistory[Timestamp])),"",INDEX(tblRunHistory[Timestamp],ROWS(tblRunHistory[Timestamp])-8+3))</f>
        <v>46249.870358796295</v>
      </c>
      <c r="U16" cm="1">
        <f t="array" ref="U16">IF(T16="","",INDEX(tblRunHistory[Duration (s)],ROWS(tblRunHistory[Duration (s)])-8+3))</f>
        <v>0</v>
      </c>
    </row>
    <row r="17" spans="1:21" ht="14.25" customHeight="1">
      <c r="A17" s="2"/>
      <c r="B17" s="3"/>
      <c r="C17" s="3"/>
      <c r="D17" s="3"/>
      <c r="E17" s="3"/>
      <c r="F17" s="3"/>
      <c r="G17" s="105" t="s">
        <v>205</v>
      </c>
      <c r="H17" s="105"/>
      <c r="I17" s="105"/>
      <c r="J17" s="106" t="s">
        <v>206</v>
      </c>
      <c r="K17" s="106"/>
      <c r="L17" s="106"/>
      <c r="M17" s="107" t="s">
        <v>207</v>
      </c>
      <c r="N17" s="107"/>
      <c r="O17" s="107"/>
      <c r="P17" s="108" t="s">
        <v>208</v>
      </c>
      <c r="Q17" s="108"/>
      <c r="R17" s="108"/>
      <c r="T17" s="9" cm="1">
        <f t="array" ref="T17">IF(4&lt;=MAX(0,8-ROWS(tblRunHistory[Timestamp])),"",INDEX(tblRunHistory[Timestamp],ROWS(tblRunHistory[Timestamp])-8+4))</f>
        <v>46249.870358796295</v>
      </c>
      <c r="U17" cm="1">
        <f t="array" ref="U17">IF(T17="","",INDEX(tblRunHistory[Duration (s)],ROWS(tblRunHistory[Duration (s)])-8+4))</f>
        <v>0</v>
      </c>
    </row>
    <row r="18" spans="1:21">
      <c r="A18" s="2"/>
      <c r="B18" s="3"/>
      <c r="C18" s="3"/>
      <c r="D18" s="3"/>
      <c r="E18" s="3"/>
      <c r="F18" s="3"/>
      <c r="G18" s="109" t="s">
        <v>7</v>
      </c>
      <c r="H18" s="109"/>
      <c r="I18" s="109"/>
      <c r="J18" s="111" t="s">
        <v>8</v>
      </c>
      <c r="K18" s="111"/>
      <c r="L18" s="111"/>
      <c r="M18" s="112" t="s">
        <v>9</v>
      </c>
      <c r="N18" s="112"/>
      <c r="O18" s="112"/>
      <c r="P18" s="122" t="s">
        <v>10</v>
      </c>
      <c r="Q18" s="122"/>
      <c r="R18" s="122"/>
      <c r="T18" s="9" cm="1">
        <f t="array" ref="T18">IF(5&lt;=MAX(0,8-ROWS(tblRunHistory[Timestamp])),"",INDEX(tblRunHistory[Timestamp],ROWS(tblRunHistory[Timestamp])-8+5))</f>
        <v>46249.870358796295</v>
      </c>
      <c r="U18" cm="1">
        <f t="array" ref="U18">IF(T18="","",INDEX(tblRunHistory[Duration (s)],ROWS(tblRunHistory[Duration (s)])-8+5))</f>
        <v>0</v>
      </c>
    </row>
    <row r="19" spans="1:21">
      <c r="A19" s="2"/>
      <c r="B19" s="3"/>
      <c r="C19" s="3"/>
      <c r="D19" s="3"/>
      <c r="E19" s="3"/>
      <c r="F19" s="3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T19" s="9" cm="1">
        <f t="array" ref="T19">IF(6&lt;=MAX(0,8-ROWS(tblRunHistory[Timestamp])),"",INDEX(tblRunHistory[Timestamp],ROWS(tblRunHistory[Timestamp])-8+6))</f>
        <v>46249.870358796295</v>
      </c>
      <c r="U19" cm="1">
        <f t="array" ref="U19">IF(T19="","",INDEX(tblRunHistory[Duration (s)],ROWS(tblRunHistory[Duration (s)])-8+6))</f>
        <v>0</v>
      </c>
    </row>
    <row r="20" spans="1:21" ht="14.25" customHeight="1">
      <c r="A20" s="2"/>
      <c r="B20" s="3"/>
      <c r="C20" s="3"/>
      <c r="D20" s="3"/>
      <c r="E20" s="3"/>
      <c r="F20" s="3"/>
      <c r="G20" s="125">
        <f>COUNTIF(Configuration!$B$21:$B$26,TRUE)</f>
        <v>5</v>
      </c>
      <c r="H20" s="125"/>
      <c r="I20" s="125"/>
      <c r="J20" s="126">
        <f>COUNTIF(Configuration!$I$21:$I$26,"Success")</f>
        <v>4</v>
      </c>
      <c r="K20" s="126"/>
      <c r="L20" s="126"/>
      <c r="M20" s="127">
        <f>COUNTIF(Configuration!$I$21:$I$26,"Warning")</f>
        <v>1</v>
      </c>
      <c r="N20" s="127"/>
      <c r="O20" s="127"/>
      <c r="P20" s="123">
        <f>COUNTIF(Configuration!$I$21:$I$26,"Failed")</f>
        <v>0</v>
      </c>
      <c r="Q20" s="123"/>
      <c r="R20" s="123"/>
      <c r="T20" s="9" cm="1">
        <f t="array" ref="T20">IF(7&lt;=MAX(0,8-ROWS(tblRunHistory[Timestamp])),"",INDEX(tblRunHistory[Timestamp],ROWS(tblRunHistory[Timestamp])-8+7))</f>
        <v>46249.870370370372</v>
      </c>
      <c r="U20" cm="1">
        <f t="array" ref="U20">IF(T20="","",INDEX(tblRunHistory[Duration (s)],ROWS(tblRunHistory[Duration (s)])-8+7))</f>
        <v>0</v>
      </c>
    </row>
    <row r="21" spans="1:21" ht="14.25" customHeight="1">
      <c r="A21" s="2"/>
      <c r="B21" s="3"/>
      <c r="C21" s="3"/>
      <c r="D21" s="3"/>
      <c r="E21" s="3"/>
      <c r="F21" s="3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T21" s="9" cm="1">
        <f t="array" ref="T21">IF(8&lt;=MAX(0,8-ROWS(tblRunHistory[Timestamp])),"",INDEX(tblRunHistory[Timestamp],ROWS(tblRunHistory[Timestamp])-8+8))</f>
        <v>46249.870370370372</v>
      </c>
      <c r="U21" cm="1">
        <f t="array" ref="U21">IF(T21="","",INDEX(tblRunHistory[Duration (s)],ROWS(tblRunHistory[Duration (s)])-8+8))</f>
        <v>4.4000000000000004</v>
      </c>
    </row>
    <row r="22" spans="1:21" ht="14.25" customHeight="1">
      <c r="A22" s="2"/>
      <c r="B22" s="3"/>
      <c r="C22" s="3"/>
      <c r="D22" s="3"/>
      <c r="E22" s="3"/>
      <c r="F22" s="3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</row>
    <row r="23" spans="1:21" ht="22.5" customHeight="1">
      <c r="A23" s="2"/>
      <c r="B23" s="3"/>
      <c r="C23" s="3"/>
      <c r="D23" s="3"/>
      <c r="E23" s="3"/>
      <c r="F23" s="3"/>
      <c r="G23" s="113" t="str">
        <f>IF(COUNTA(tblRunHistory[Timestamp])=0,"LAST RUN  --","LAST RUN  "&amp;TEXT(MAX(tblRunHistory[Timestamp]),"dd-mmm hh:mm"))</f>
        <v>LAST RUN  15-Aug 20:53</v>
      </c>
      <c r="H23" s="113"/>
      <c r="I23" s="113" t="str">
        <f>"AVG TIME  "&amp;TEXT(IFERROR(AVERAGEIF(tblRunHistory[Duration (s)],"&gt;0"),0),"0.0")&amp;"s"</f>
        <v>AVG TIME  4.4s</v>
      </c>
      <c r="J23" s="113"/>
      <c r="K23" s="114" t="str">
        <f>"EXPORT EVENTS  "&amp;COUNTIFS(tblRunHistory[Action],"Export",tblRunHistory[Status],"Success")</f>
        <v>EXPORT EVENTS  5</v>
      </c>
      <c r="L23" s="114"/>
      <c r="M23" s="115" t="str">
        <f>"AFO  "&amp;IF(Configuration!$C$11="SIMULATION","SIMULATION / SAP CALLS DISABLED",IFERROR(SAPGetSourceInfo(INDEX(Configuration!$E$21:$E$26,MATCH($P$5,Configuration!$C$21:$C$26,0)),"DataSourceName"),"ADD-IN NOT DETECTED"))</f>
        <v>AFO  SIMULATION / SAP CALLS DISABLED</v>
      </c>
      <c r="N23" s="115"/>
      <c r="O23" s="115"/>
      <c r="P23" s="115"/>
      <c r="Q23" s="115"/>
      <c r="R23" s="115"/>
    </row>
    <row r="24" spans="1:21" ht="23.1" customHeight="1">
      <c r="A24" s="2"/>
      <c r="B24" s="3"/>
      <c r="C24" s="3"/>
      <c r="D24" s="3"/>
      <c r="E24" s="3"/>
      <c r="F24" s="3"/>
      <c r="G24" s="120" t="s">
        <v>11</v>
      </c>
      <c r="H24" s="120"/>
      <c r="I24" s="120"/>
      <c r="J24" s="120"/>
      <c r="K24" s="120"/>
      <c r="L24" s="120"/>
      <c r="M24" s="120"/>
      <c r="N24" s="121" t="s">
        <v>216</v>
      </c>
      <c r="O24" s="121"/>
      <c r="P24" s="121"/>
      <c r="Q24" s="121"/>
      <c r="R24" s="121"/>
    </row>
    <row r="25" spans="1:21" ht="15">
      <c r="A25" s="2"/>
      <c r="B25" s="3"/>
      <c r="C25" s="3"/>
      <c r="D25" s="3"/>
      <c r="E25" s="3"/>
      <c r="F25" s="3"/>
      <c r="G25" s="78" t="s">
        <v>12</v>
      </c>
      <c r="H25" s="78" t="s">
        <v>13</v>
      </c>
      <c r="I25" s="78" t="s">
        <v>14</v>
      </c>
      <c r="J25" s="78" t="s">
        <v>15</v>
      </c>
      <c r="K25" s="78" t="s">
        <v>16</v>
      </c>
      <c r="L25" s="78" t="s">
        <v>17</v>
      </c>
      <c r="M25" s="78" t="s">
        <v>18</v>
      </c>
      <c r="N25" s="76"/>
      <c r="O25" s="76"/>
      <c r="P25" s="76"/>
      <c r="Q25" s="76"/>
      <c r="R25" s="76"/>
    </row>
    <row r="26" spans="1:21" ht="21.95" customHeight="1">
      <c r="A26" s="2"/>
      <c r="B26" s="3"/>
      <c r="C26" s="3"/>
      <c r="D26" s="3"/>
      <c r="E26" s="3"/>
      <c r="F26" s="3"/>
      <c r="G26" s="68" t="str">
        <f>Configuration!C21</f>
        <v>RPT001</v>
      </c>
      <c r="H26" s="69" t="str">
        <f>Configuration!D21</f>
        <v>P&amp;L Actual vs Budget</v>
      </c>
      <c r="I26" s="69" t="str">
        <f>Configuration!E21</f>
        <v>DS_1</v>
      </c>
      <c r="J26" s="70" t="str">
        <f>Configuration!I21</f>
        <v>Success</v>
      </c>
      <c r="K26" s="71">
        <f>Configuration!J21</f>
        <v>1</v>
      </c>
      <c r="L26" s="72">
        <f>IF(Configuration!K21="","",Configuration!K21)</f>
        <v>46249.870324074072</v>
      </c>
      <c r="M26" s="69" t="str">
        <f>Configuration!L21</f>
        <v>Refresh completed</v>
      </c>
      <c r="N26" s="76"/>
      <c r="O26" s="76"/>
      <c r="P26" s="76"/>
      <c r="Q26" s="76"/>
      <c r="R26" s="76"/>
    </row>
    <row r="27" spans="1:21" ht="21.95" customHeight="1">
      <c r="A27" s="2"/>
      <c r="B27" s="3"/>
      <c r="C27" s="3"/>
      <c r="D27" s="3"/>
      <c r="E27" s="3"/>
      <c r="F27" s="3"/>
      <c r="G27" s="73" t="str">
        <f>Configuration!C22</f>
        <v>RPT002</v>
      </c>
      <c r="H27" s="69" t="str">
        <f>Configuration!D22</f>
        <v>Balance Sheet</v>
      </c>
      <c r="I27" s="69" t="str">
        <f>Configuration!E22</f>
        <v>DS_2</v>
      </c>
      <c r="J27" s="70" t="str">
        <f>Configuration!I22</f>
        <v>Success</v>
      </c>
      <c r="K27" s="71">
        <f>Configuration!J22</f>
        <v>1</v>
      </c>
      <c r="L27" s="72">
        <f>IF(Configuration!K22="","",Configuration!K22)</f>
        <v>46249.870335648149</v>
      </c>
      <c r="M27" s="69" t="str">
        <f>Configuration!L22</f>
        <v>Refresh completed</v>
      </c>
      <c r="N27" s="76"/>
      <c r="O27" s="76"/>
      <c r="P27" s="76"/>
      <c r="Q27" s="76"/>
      <c r="R27" s="76"/>
    </row>
    <row r="28" spans="1:21" ht="21.95" customHeight="1">
      <c r="A28" s="2"/>
      <c r="B28" s="3"/>
      <c r="C28" s="3"/>
      <c r="D28" s="3"/>
      <c r="E28" s="3"/>
      <c r="F28" s="3"/>
      <c r="G28" s="68" t="str">
        <f>Configuration!C23</f>
        <v>RPT003</v>
      </c>
      <c r="H28" s="69" t="str">
        <f>Configuration!D23</f>
        <v>Cash Flow</v>
      </c>
      <c r="I28" s="69" t="str">
        <f>Configuration!E23</f>
        <v>DS_3</v>
      </c>
      <c r="J28" s="70" t="str">
        <f>Configuration!I23</f>
        <v>Success</v>
      </c>
      <c r="K28" s="71">
        <f>Configuration!J23</f>
        <v>1</v>
      </c>
      <c r="L28" s="72">
        <f>IF(Configuration!K23="","",Configuration!K23)</f>
        <v>46249.870347222219</v>
      </c>
      <c r="M28" s="69" t="str">
        <f>Configuration!L23</f>
        <v>Refresh completed</v>
      </c>
      <c r="N28" s="76"/>
      <c r="O28" s="76"/>
      <c r="P28" s="76"/>
      <c r="Q28" s="76"/>
      <c r="R28" s="76"/>
    </row>
    <row r="29" spans="1:21" ht="21.95" customHeight="1">
      <c r="A29" s="2"/>
      <c r="B29" s="3"/>
      <c r="C29" s="3"/>
      <c r="D29" s="3"/>
      <c r="E29" s="3"/>
      <c r="F29" s="3"/>
      <c r="G29" s="73" t="str">
        <f>Configuration!C24</f>
        <v>RPT004</v>
      </c>
      <c r="H29" s="69" t="str">
        <f>Configuration!D24</f>
        <v>Cost Centre Summary</v>
      </c>
      <c r="I29" s="69" t="str">
        <f>Configuration!E24</f>
        <v>DS_4</v>
      </c>
      <c r="J29" s="70" t="str">
        <f>Configuration!I24</f>
        <v>Warning</v>
      </c>
      <c r="K29" s="71">
        <f>Configuration!J24</f>
        <v>1</v>
      </c>
      <c r="L29" s="72">
        <f>IF(Configuration!K24="","",Configuration!K24)</f>
        <v>46249.870358796295</v>
      </c>
      <c r="M29" s="69" t="str">
        <f>Configuration!L24</f>
        <v>Prompt returned no rows</v>
      </c>
      <c r="N29" s="76"/>
      <c r="O29" s="76"/>
      <c r="P29" s="76"/>
      <c r="Q29" s="76"/>
      <c r="R29" s="76"/>
    </row>
    <row r="30" spans="1:21" ht="21.95" customHeight="1">
      <c r="A30" s="2"/>
      <c r="B30" s="3"/>
      <c r="C30" s="3"/>
      <c r="D30" s="3"/>
      <c r="E30" s="3"/>
      <c r="F30" s="3"/>
      <c r="G30" s="68" t="str">
        <f>Configuration!C25</f>
        <v>RPT005</v>
      </c>
      <c r="H30" s="69" t="str">
        <f>Configuration!D25</f>
        <v>Top Customers</v>
      </c>
      <c r="I30" s="69" t="str">
        <f>Configuration!E25</f>
        <v>DS_5</v>
      </c>
      <c r="J30" s="70" t="str">
        <f>Configuration!I25</f>
        <v>Success</v>
      </c>
      <c r="K30" s="71">
        <f>Configuration!J25</f>
        <v>1</v>
      </c>
      <c r="L30" s="72">
        <f>IF(Configuration!K25="","",Configuration!K25)</f>
        <v>46249.870358796295</v>
      </c>
      <c r="M30" s="69" t="str">
        <f>Configuration!L25</f>
        <v>Refresh completed</v>
      </c>
      <c r="N30" s="76"/>
      <c r="O30" s="76"/>
      <c r="P30" s="76"/>
      <c r="Q30" s="76"/>
      <c r="R30" s="76"/>
    </row>
    <row r="31" spans="1:21" ht="21.95" customHeight="1">
      <c r="A31" s="2"/>
      <c r="B31" s="3"/>
      <c r="C31" s="3"/>
      <c r="D31" s="3"/>
      <c r="E31" s="3"/>
      <c r="F31" s="3"/>
      <c r="G31" s="73" t="str">
        <f>Configuration!C26</f>
        <v>RPT006</v>
      </c>
      <c r="H31" s="69" t="str">
        <f>Configuration!D26</f>
        <v>Open Items</v>
      </c>
      <c r="I31" s="69" t="str">
        <f>Configuration!E26</f>
        <v>DS_6</v>
      </c>
      <c r="J31" s="70" t="str">
        <f>Configuration!I26</f>
        <v>Not Run</v>
      </c>
      <c r="K31" s="71">
        <f>Configuration!J26</f>
        <v>0</v>
      </c>
      <c r="L31" s="72" t="str">
        <f>IF(Configuration!K26="","",Configuration!K26)</f>
        <v/>
      </c>
      <c r="M31" s="69" t="str">
        <f>Configuration!L26</f>
        <v>Inactive</v>
      </c>
      <c r="N31" s="76"/>
      <c r="O31" s="76"/>
      <c r="P31" s="76"/>
      <c r="Q31" s="76"/>
      <c r="R31" s="76"/>
    </row>
    <row r="32" spans="1:21" ht="14.25" customHeight="1">
      <c r="A32" s="2"/>
      <c r="B32" s="3"/>
      <c r="C32" s="3"/>
      <c r="D32" s="3"/>
      <c r="E32" s="3"/>
      <c r="F32" s="3"/>
      <c r="G32" s="2"/>
      <c r="H32" s="2"/>
      <c r="I32" s="2"/>
      <c r="J32" s="2"/>
      <c r="K32" s="2"/>
      <c r="L32" s="2"/>
      <c r="M32" s="2"/>
      <c r="N32" s="76"/>
      <c r="O32" s="76"/>
      <c r="P32" s="76"/>
      <c r="Q32" s="76"/>
      <c r="R32" s="76"/>
    </row>
    <row r="33" spans="1:18" ht="23.1" customHeight="1">
      <c r="A33" s="2"/>
      <c r="B33" s="3"/>
      <c r="C33" s="3"/>
      <c r="D33" s="3"/>
      <c r="E33" s="3"/>
      <c r="F33" s="3"/>
      <c r="G33" s="120" t="s">
        <v>20</v>
      </c>
      <c r="H33" s="120"/>
      <c r="I33" s="120"/>
      <c r="J33" s="120"/>
      <c r="K33" s="120"/>
      <c r="L33" s="120"/>
      <c r="M33" s="120"/>
      <c r="N33" s="76"/>
      <c r="O33" s="76"/>
      <c r="P33" s="76"/>
      <c r="Q33" s="76"/>
      <c r="R33" s="76"/>
    </row>
    <row r="34" spans="1:18" ht="15">
      <c r="A34" s="2"/>
      <c r="B34" s="3"/>
      <c r="C34" s="3"/>
      <c r="D34" s="3"/>
      <c r="E34" s="3"/>
      <c r="F34" s="3"/>
      <c r="G34" s="74" t="s">
        <v>21</v>
      </c>
      <c r="H34" s="74" t="s">
        <v>12</v>
      </c>
      <c r="I34" s="74" t="s">
        <v>22</v>
      </c>
      <c r="J34" s="74" t="s">
        <v>15</v>
      </c>
      <c r="K34" s="74" t="s">
        <v>23</v>
      </c>
      <c r="L34" s="74" t="s">
        <v>24</v>
      </c>
      <c r="M34" s="74" t="s">
        <v>25</v>
      </c>
      <c r="N34" s="76"/>
      <c r="O34" s="76"/>
      <c r="P34" s="76"/>
      <c r="Q34" s="76"/>
      <c r="R34" s="76"/>
    </row>
    <row r="35" spans="1:18" ht="21" customHeight="1">
      <c r="A35" s="2"/>
      <c r="B35" s="3"/>
      <c r="C35" s="3"/>
      <c r="D35" s="3"/>
      <c r="E35" s="3"/>
      <c r="F35" s="3"/>
      <c r="G35" s="194">
        <v>46249.870370370372</v>
      </c>
      <c r="H35" s="69"/>
      <c r="I35" s="69" t="s">
        <v>212</v>
      </c>
      <c r="J35" s="69" t="s">
        <v>32</v>
      </c>
      <c r="K35" s="75">
        <v>4.4000000000000004</v>
      </c>
      <c r="L35" s="69"/>
      <c r="M35" s="69" t="s">
        <v>213</v>
      </c>
      <c r="N35" s="76"/>
      <c r="O35" s="76"/>
      <c r="P35" s="76"/>
      <c r="Q35" s="76"/>
      <c r="R35" s="76"/>
    </row>
    <row r="36" spans="1:18" ht="21" customHeight="1">
      <c r="A36" s="2"/>
      <c r="B36" s="119" t="s">
        <v>30</v>
      </c>
      <c r="C36" s="119"/>
      <c r="D36" s="119"/>
      <c r="E36" s="119"/>
      <c r="F36" s="119"/>
      <c r="G36" s="195">
        <v>46249.870370370372</v>
      </c>
      <c r="H36" s="69" t="s">
        <v>133</v>
      </c>
      <c r="I36" s="69" t="s">
        <v>210</v>
      </c>
      <c r="J36" s="69" t="s">
        <v>27</v>
      </c>
      <c r="K36" s="75">
        <v>0</v>
      </c>
      <c r="L36" s="69" t="s">
        <v>28</v>
      </c>
      <c r="M36" s="69" t="s">
        <v>211</v>
      </c>
      <c r="N36" s="76"/>
      <c r="O36" s="76"/>
      <c r="P36" s="76"/>
      <c r="Q36" s="76"/>
      <c r="R36" s="76"/>
    </row>
    <row r="37" spans="1:18" ht="21" customHeight="1">
      <c r="A37" s="2"/>
      <c r="B37" s="3"/>
      <c r="C37" s="3"/>
      <c r="D37" s="3"/>
      <c r="E37" s="3"/>
      <c r="F37" s="3"/>
      <c r="G37" s="194">
        <v>46249.870358796295</v>
      </c>
      <c r="H37" s="69" t="s">
        <v>133</v>
      </c>
      <c r="I37" s="69" t="s">
        <v>26</v>
      </c>
      <c r="J37" s="69" t="s">
        <v>27</v>
      </c>
      <c r="K37" s="75">
        <v>0</v>
      </c>
      <c r="L37" s="69"/>
      <c r="M37" s="69" t="s">
        <v>222</v>
      </c>
      <c r="N37" s="76"/>
      <c r="O37" s="76"/>
      <c r="P37" s="76"/>
      <c r="Q37" s="76"/>
      <c r="R37" s="76"/>
    </row>
    <row r="38" spans="1:18" ht="21" customHeight="1">
      <c r="A38" s="2"/>
      <c r="B38" s="3"/>
      <c r="C38" s="3"/>
      <c r="D38" s="3"/>
      <c r="E38" s="3"/>
      <c r="F38" s="3"/>
      <c r="G38" s="195">
        <v>46249.870358796295</v>
      </c>
      <c r="H38" s="69" t="s">
        <v>31</v>
      </c>
      <c r="I38" s="69" t="s">
        <v>210</v>
      </c>
      <c r="J38" s="69" t="s">
        <v>27</v>
      </c>
      <c r="K38" s="75">
        <v>0</v>
      </c>
      <c r="L38" s="69" t="s">
        <v>33</v>
      </c>
      <c r="M38" s="69" t="s">
        <v>211</v>
      </c>
      <c r="N38" s="76"/>
      <c r="O38" s="76"/>
      <c r="P38" s="76"/>
      <c r="Q38" s="76"/>
      <c r="R38" s="76"/>
    </row>
    <row r="39" spans="1:18" ht="15">
      <c r="A39" s="2"/>
      <c r="B39" s="3"/>
      <c r="C39" s="3"/>
      <c r="D39" s="3"/>
      <c r="E39" s="3"/>
      <c r="F39" s="3"/>
      <c r="G39" s="2"/>
      <c r="H39" s="2"/>
      <c r="I39" s="2"/>
      <c r="J39" s="2"/>
      <c r="K39" s="2"/>
      <c r="L39" s="2"/>
      <c r="M39" s="2"/>
      <c r="N39" s="76"/>
      <c r="O39" s="76"/>
      <c r="P39" s="76"/>
      <c r="Q39" s="76"/>
      <c r="R39" s="76"/>
    </row>
    <row r="40" spans="1:18">
      <c r="A40" s="2"/>
      <c r="B40" s="3"/>
      <c r="C40" s="3"/>
      <c r="D40" s="3"/>
      <c r="E40" s="3"/>
      <c r="F40" s="3"/>
      <c r="G40" s="116" t="s">
        <v>225</v>
      </c>
      <c r="H40" s="116"/>
      <c r="I40" s="116" t="s">
        <v>226</v>
      </c>
      <c r="J40" s="116"/>
      <c r="K40" s="116" t="s">
        <v>227</v>
      </c>
      <c r="L40" s="116"/>
      <c r="M40" s="116"/>
      <c r="N40" s="77"/>
      <c r="O40" s="77"/>
      <c r="P40" s="77"/>
      <c r="Q40" s="77"/>
      <c r="R40" s="77"/>
    </row>
    <row r="41" spans="1:18">
      <c r="A41" s="2"/>
      <c r="B41" s="3"/>
      <c r="C41" s="3"/>
      <c r="D41" s="3"/>
      <c r="E41" s="3"/>
      <c r="F41" s="3"/>
      <c r="G41" s="117" t="str">
        <f>COUNTIF(Configuration!$B$21:$B$26,TRUE)&amp;" / "&amp;ROWS(Configuration!$B$21:$B$26)</f>
        <v>5 / 6</v>
      </c>
      <c r="H41" s="117"/>
      <c r="I41" s="117" t="str">
        <f>TEXT(IFERROR(COUNTIF(Configuration!$I$21:$I$26,"Success")/COUNTIF(Configuration!$B$21:$B$26,TRUE),0),"0%")</f>
        <v>80%</v>
      </c>
      <c r="J41" s="117"/>
      <c r="K41" s="117" t="str">
        <f>TEXT(IFERROR(AVERAGEIF(tblRunHistory[Duration (s)],"&gt;0"),0),"0.0")&amp;"s"</f>
        <v>4.4s</v>
      </c>
      <c r="L41" s="117"/>
      <c r="M41" s="117"/>
      <c r="N41" s="77"/>
      <c r="O41" s="77"/>
      <c r="P41" s="77"/>
      <c r="Q41" s="77"/>
      <c r="R41" s="77"/>
    </row>
    <row r="42" spans="1:18">
      <c r="A42" s="2"/>
      <c r="B42" s="3"/>
      <c r="C42" s="3"/>
      <c r="D42" s="3"/>
      <c r="E42" s="3"/>
      <c r="F42" s="3"/>
      <c r="G42" s="117"/>
      <c r="H42" s="117"/>
      <c r="I42" s="117"/>
      <c r="J42" s="117"/>
      <c r="K42" s="117"/>
      <c r="L42" s="117"/>
      <c r="M42" s="117"/>
      <c r="N42" s="55"/>
      <c r="O42" s="55"/>
      <c r="P42" s="55"/>
      <c r="Q42" s="55"/>
      <c r="R42" s="55"/>
    </row>
    <row r="43" spans="1:18">
      <c r="A43" s="2"/>
      <c r="B43" s="3"/>
      <c r="C43" s="3"/>
      <c r="D43" s="3"/>
      <c r="E43" s="3"/>
      <c r="F43" s="3"/>
      <c r="G43" s="118" t="s">
        <v>228</v>
      </c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</row>
    <row r="44" spans="1:18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</sheetData>
  <mergeCells count="39">
    <mergeCell ref="G43:R43"/>
    <mergeCell ref="B9:F9"/>
    <mergeCell ref="B36:F36"/>
    <mergeCell ref="G40:H40"/>
    <mergeCell ref="G41:H42"/>
    <mergeCell ref="I40:J40"/>
    <mergeCell ref="I41:J42"/>
    <mergeCell ref="G33:M33"/>
    <mergeCell ref="G24:M24"/>
    <mergeCell ref="N24:R24"/>
    <mergeCell ref="P18:R19"/>
    <mergeCell ref="P20:R22"/>
    <mergeCell ref="G20:I22"/>
    <mergeCell ref="J20:L22"/>
    <mergeCell ref="M20:O22"/>
    <mergeCell ref="G23:H23"/>
    <mergeCell ref="I23:J23"/>
    <mergeCell ref="K23:L23"/>
    <mergeCell ref="M23:R23"/>
    <mergeCell ref="K40:M40"/>
    <mergeCell ref="K41:M42"/>
    <mergeCell ref="G17:I17"/>
    <mergeCell ref="J17:L17"/>
    <mergeCell ref="M17:O17"/>
    <mergeCell ref="P17:R17"/>
    <mergeCell ref="G18:I19"/>
    <mergeCell ref="J18:L19"/>
    <mergeCell ref="M18:O19"/>
    <mergeCell ref="N2:R2"/>
    <mergeCell ref="N5:O5"/>
    <mergeCell ref="P5:R5"/>
    <mergeCell ref="E2:M3"/>
    <mergeCell ref="N3:R3"/>
    <mergeCell ref="G16:R16"/>
    <mergeCell ref="G9:K9"/>
    <mergeCell ref="G10:K12"/>
    <mergeCell ref="G13:K13"/>
    <mergeCell ref="L9:P9"/>
    <mergeCell ref="Q9:R10"/>
  </mergeCells>
  <conditionalFormatting sqref="J26:J31">
    <cfRule type="expression" dxfId="76" priority="8" stopIfTrue="1">
      <formula>$J26="Success"</formula>
    </cfRule>
    <cfRule type="expression" dxfId="75" priority="9" stopIfTrue="1">
      <formula>$J26="Warning"</formula>
    </cfRule>
    <cfRule type="expression" dxfId="74" priority="10" stopIfTrue="1">
      <formula>$J26="Failed"</formula>
    </cfRule>
    <cfRule type="expression" dxfId="73" priority="11" stopIfTrue="1">
      <formula>$J26="Running"</formula>
    </cfRule>
    <cfRule type="expression" dxfId="72" priority="12" stopIfTrue="1">
      <formula>$J26="Ready"</formula>
    </cfRule>
    <cfRule type="expression" dxfId="71" priority="13" stopIfTrue="1">
      <formula>$J26="Not Run"</formula>
    </cfRule>
  </conditionalFormatting>
  <conditionalFormatting sqref="K26:K31">
    <cfRule type="dataBar" priority="14">
      <dataBar>
        <cfvo type="num" val="0"/>
        <cfvo type="num" val="1"/>
        <color rgb="FF2ED47A"/>
      </dataBar>
      <extLst>
        <ext xmlns:x14="http://schemas.microsoft.com/office/spreadsheetml/2009/9/main" uri="{B025F937-C7B1-47D3-B67F-A62EFF666E3E}">
          <x14:id>{992C9AC4-C774-490F-8B06-B56245D193C5}</x14:id>
        </ext>
      </extLst>
    </cfRule>
  </conditionalFormatting>
  <conditionalFormatting sqref="J35:J38">
    <cfRule type="expression" dxfId="70" priority="15" stopIfTrue="1">
      <formula>$J35="Success"</formula>
    </cfRule>
    <cfRule type="expression" dxfId="69" priority="16" stopIfTrue="1">
      <formula>$J35="Warning"</formula>
    </cfRule>
    <cfRule type="expression" dxfId="68" priority="17" stopIfTrue="1">
      <formula>$J35="Failed"</formula>
    </cfRule>
    <cfRule type="expression" dxfId="67" priority="18" stopIfTrue="1">
      <formula>$J35="Running"</formula>
    </cfRule>
    <cfRule type="expression" dxfId="66" priority="19" stopIfTrue="1">
      <formula>$J35="Ready"</formula>
    </cfRule>
    <cfRule type="expression" dxfId="65" priority="20" stopIfTrue="1">
      <formula>$J35="Not Run"</formula>
    </cfRule>
  </conditionalFormatting>
  <dataValidations count="1">
    <dataValidation type="list" showInputMessage="1" showErrorMessage="1" sqref="P5" xr:uid="{35542AC3-DCF6-4D87-A189-0DB431602495}">
      <formula1>ReportIDs</formula1>
    </dataValidation>
  </dataValidations>
  <hyperlinks>
    <hyperlink ref="M5" r:id="rId1" xr:uid="{9103809A-0EF5-4BD5-A578-F7F2E716832B}"/>
  </hyperlinks>
  <pageMargins left="0.7" right="0.7" top="0.75" bottom="0.75" header="0.3" footer="0.3"/>
  <pageSetup paperSize="9" scale="57" orientation="landscape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C9AC4-C774-490F-8B06-B56245D193C5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K26:K31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AEEF"/>
    <pageSetUpPr fitToPage="1"/>
  </sheetPr>
  <dimension ref="A1:N54"/>
  <sheetViews>
    <sheetView showGridLines="0" showRowColHeaders="0" zoomScale="130" zoomScaleNormal="130" workbookViewId="0">
      <selection activeCell="Q46" sqref="Q46"/>
    </sheetView>
  </sheetViews>
  <sheetFormatPr defaultRowHeight="14.25"/>
  <cols>
    <col min="1" max="1" width="2.5" customWidth="1"/>
    <col min="2" max="5" width="11" customWidth="1"/>
    <col min="6" max="6" width="2.5" customWidth="1"/>
    <col min="7" max="10" width="11" customWidth="1"/>
    <col min="11" max="11" width="2.5" customWidth="1"/>
    <col min="12" max="14" width="11" customWidth="1"/>
  </cols>
  <sheetData>
    <row r="1" spans="1:14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4.25" customHeight="1">
      <c r="A2" s="2"/>
      <c r="B2" s="129" t="s">
        <v>37</v>
      </c>
      <c r="C2" s="129"/>
      <c r="D2" s="129"/>
      <c r="E2" s="129"/>
      <c r="F2" s="129"/>
      <c r="G2" s="129"/>
      <c r="H2" s="129"/>
      <c r="I2" s="130"/>
      <c r="J2" s="130"/>
      <c r="K2" s="128" t="s">
        <v>38</v>
      </c>
      <c r="L2" s="128"/>
      <c r="M2" s="128"/>
      <c r="N2" s="128"/>
    </row>
    <row r="3" spans="1:14">
      <c r="A3" s="2"/>
      <c r="B3" s="129"/>
      <c r="C3" s="129"/>
      <c r="D3" s="129"/>
      <c r="E3" s="129"/>
      <c r="F3" s="129"/>
      <c r="G3" s="129"/>
      <c r="H3" s="129"/>
      <c r="I3" s="130"/>
      <c r="J3" s="130"/>
      <c r="K3" s="128"/>
      <c r="L3" s="128"/>
      <c r="M3" s="128"/>
      <c r="N3" s="128"/>
    </row>
    <row r="4" spans="1:14">
      <c r="A4" s="2"/>
      <c r="B4" s="131" t="s">
        <v>39</v>
      </c>
      <c r="C4" s="131"/>
      <c r="D4" s="131"/>
      <c r="E4" s="131"/>
      <c r="F4" s="131"/>
      <c r="G4" s="131"/>
      <c r="H4" s="131"/>
      <c r="I4" s="132"/>
      <c r="J4" s="132"/>
      <c r="K4" s="128"/>
      <c r="L4" s="128"/>
      <c r="M4" s="128"/>
      <c r="N4" s="128"/>
    </row>
    <row r="5" spans="1:14">
      <c r="A5" s="2"/>
      <c r="B5" s="10"/>
      <c r="C5" s="10"/>
      <c r="D5" s="10"/>
      <c r="E5" s="10"/>
      <c r="F5" s="10"/>
      <c r="G5" s="10"/>
      <c r="H5" s="10"/>
      <c r="I5" s="3"/>
      <c r="J5" s="3"/>
      <c r="K5" s="128"/>
      <c r="L5" s="128"/>
      <c r="M5" s="128"/>
      <c r="N5" s="128"/>
    </row>
    <row r="6" spans="1:14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23.1" customHeight="1">
      <c r="A9" s="2"/>
      <c r="B9" s="133" t="s">
        <v>40</v>
      </c>
      <c r="C9" s="133"/>
      <c r="D9" s="133"/>
      <c r="E9" s="133"/>
      <c r="F9" s="80"/>
      <c r="G9" s="133" t="s">
        <v>41</v>
      </c>
      <c r="H9" s="133"/>
      <c r="I9" s="133"/>
      <c r="J9" s="133"/>
      <c r="K9" s="80"/>
      <c r="L9" s="133" t="s">
        <v>19</v>
      </c>
      <c r="M9" s="133"/>
      <c r="N9" s="133"/>
    </row>
    <row r="10" spans="1:14">
      <c r="A10" s="2"/>
      <c r="B10" s="134" t="s">
        <v>249</v>
      </c>
      <c r="C10" s="134"/>
      <c r="D10" s="134"/>
      <c r="E10" s="134"/>
      <c r="F10" s="81"/>
      <c r="G10" s="136" t="s">
        <v>42</v>
      </c>
      <c r="H10" s="136"/>
      <c r="I10" s="136"/>
      <c r="J10" s="136"/>
      <c r="K10" s="83"/>
      <c r="L10" s="137" t="s">
        <v>43</v>
      </c>
      <c r="M10" s="137"/>
      <c r="N10" s="137"/>
    </row>
    <row r="11" spans="1:14">
      <c r="A11" s="2"/>
      <c r="B11" s="134"/>
      <c r="C11" s="134"/>
      <c r="D11" s="134"/>
      <c r="E11" s="134"/>
      <c r="F11" s="81"/>
      <c r="G11" s="136"/>
      <c r="H11" s="136"/>
      <c r="I11" s="136"/>
      <c r="J11" s="136"/>
      <c r="K11" s="83"/>
      <c r="L11" s="137"/>
      <c r="M11" s="137"/>
      <c r="N11" s="137"/>
    </row>
    <row r="12" spans="1:14">
      <c r="A12" s="2"/>
      <c r="B12" s="134"/>
      <c r="C12" s="134"/>
      <c r="D12" s="134"/>
      <c r="E12" s="134"/>
      <c r="F12" s="81"/>
      <c r="G12" s="136"/>
      <c r="H12" s="136"/>
      <c r="I12" s="136"/>
      <c r="J12" s="136"/>
      <c r="K12" s="83"/>
      <c r="L12" s="137"/>
      <c r="M12" s="137"/>
      <c r="N12" s="137"/>
    </row>
    <row r="13" spans="1:14">
      <c r="A13" s="2"/>
      <c r="B13" s="135" t="s">
        <v>250</v>
      </c>
      <c r="C13" s="135"/>
      <c r="D13" s="135"/>
      <c r="E13" s="135"/>
      <c r="F13" s="82"/>
      <c r="G13" s="135" t="s">
        <v>44</v>
      </c>
      <c r="H13" s="135"/>
      <c r="I13" s="135"/>
      <c r="J13" s="135"/>
      <c r="K13" s="82"/>
      <c r="L13" s="138" t="s">
        <v>45</v>
      </c>
      <c r="M13" s="138"/>
      <c r="N13" s="138"/>
    </row>
    <row r="14" spans="1:14">
      <c r="A14" s="2"/>
      <c r="B14" s="135"/>
      <c r="C14" s="135"/>
      <c r="D14" s="135"/>
      <c r="E14" s="135"/>
      <c r="F14" s="82"/>
      <c r="G14" s="135"/>
      <c r="H14" s="135"/>
      <c r="I14" s="135"/>
      <c r="J14" s="135"/>
      <c r="K14" s="82"/>
      <c r="L14" s="138"/>
      <c r="M14" s="138"/>
      <c r="N14" s="138"/>
    </row>
    <row r="15" spans="1:1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t="23.1" customHeight="1">
      <c r="A16" s="2"/>
      <c r="B16" s="133" t="s">
        <v>29</v>
      </c>
      <c r="C16" s="133"/>
      <c r="D16" s="133"/>
      <c r="E16" s="133"/>
      <c r="F16" s="80"/>
      <c r="G16" s="133" t="s">
        <v>46</v>
      </c>
      <c r="H16" s="133"/>
      <c r="I16" s="133"/>
      <c r="J16" s="133"/>
      <c r="K16" s="133"/>
      <c r="L16" s="133"/>
      <c r="M16" s="133"/>
      <c r="N16" s="133"/>
    </row>
    <row r="17" spans="1:14">
      <c r="A17" s="2"/>
      <c r="B17" s="134" t="s">
        <v>47</v>
      </c>
      <c r="C17" s="134"/>
      <c r="D17" s="134"/>
      <c r="E17" s="134"/>
      <c r="F17" s="83"/>
      <c r="G17" s="139" t="s">
        <v>48</v>
      </c>
      <c r="H17" s="139"/>
      <c r="I17" s="139"/>
      <c r="J17" s="139"/>
      <c r="K17" s="139"/>
      <c r="L17" s="139"/>
      <c r="M17" s="139"/>
      <c r="N17" s="139"/>
    </row>
    <row r="18" spans="1:14">
      <c r="A18" s="2"/>
      <c r="B18" s="134"/>
      <c r="C18" s="134"/>
      <c r="D18" s="134"/>
      <c r="E18" s="134"/>
      <c r="F18" s="83"/>
      <c r="G18" s="139" t="s">
        <v>241</v>
      </c>
      <c r="H18" s="139"/>
      <c r="I18" s="139"/>
      <c r="J18" s="139"/>
      <c r="K18" s="139"/>
      <c r="L18" s="139"/>
      <c r="M18" s="139"/>
      <c r="N18" s="139"/>
    </row>
    <row r="19" spans="1:14">
      <c r="A19" s="2"/>
      <c r="B19" s="135" t="s">
        <v>49</v>
      </c>
      <c r="C19" s="135"/>
      <c r="D19" s="135"/>
      <c r="E19" s="135"/>
      <c r="F19" s="82"/>
      <c r="G19" s="139" t="s">
        <v>242</v>
      </c>
      <c r="H19" s="139"/>
      <c r="I19" s="139"/>
      <c r="J19" s="139"/>
      <c r="K19" s="139"/>
      <c r="L19" s="139"/>
      <c r="M19" s="139"/>
      <c r="N19" s="139"/>
    </row>
    <row r="20" spans="1:14">
      <c r="A20" s="2"/>
      <c r="B20" s="135"/>
      <c r="C20" s="135"/>
      <c r="D20" s="135"/>
      <c r="E20" s="135"/>
      <c r="F20" s="82"/>
      <c r="G20" s="139" t="s">
        <v>243</v>
      </c>
      <c r="H20" s="139"/>
      <c r="I20" s="139"/>
      <c r="J20" s="139"/>
      <c r="K20" s="139"/>
      <c r="L20" s="139"/>
      <c r="M20" s="139"/>
      <c r="N20" s="139"/>
    </row>
    <row r="21" spans="1:14">
      <c r="A21" s="2"/>
      <c r="B21" s="2"/>
      <c r="C21" s="2"/>
      <c r="D21" s="2"/>
      <c r="E21" s="2"/>
      <c r="F21" s="2"/>
      <c r="G21" s="139" t="s">
        <v>244</v>
      </c>
      <c r="H21" s="139"/>
      <c r="I21" s="139"/>
      <c r="J21" s="139"/>
      <c r="K21" s="139"/>
      <c r="L21" s="139"/>
      <c r="M21" s="139"/>
      <c r="N21" s="139"/>
    </row>
    <row r="22" spans="1:14">
      <c r="A22" s="2"/>
      <c r="B22" s="2"/>
      <c r="C22" s="2"/>
      <c r="D22" s="2"/>
      <c r="E22" s="2"/>
      <c r="F22" s="2"/>
      <c r="G22" s="139" t="s">
        <v>245</v>
      </c>
      <c r="H22" s="139"/>
      <c r="I22" s="139"/>
      <c r="J22" s="139"/>
      <c r="K22" s="139"/>
      <c r="L22" s="139"/>
      <c r="M22" s="139"/>
      <c r="N22" s="139"/>
    </row>
    <row r="23" spans="1:14">
      <c r="A23" s="2"/>
      <c r="B23" s="2"/>
      <c r="C23" s="2"/>
      <c r="D23" s="2"/>
      <c r="E23" s="2"/>
      <c r="F23" s="2"/>
      <c r="G23" s="139" t="s">
        <v>50</v>
      </c>
      <c r="H23" s="139"/>
      <c r="I23" s="139"/>
      <c r="J23" s="139"/>
      <c r="K23" s="139"/>
      <c r="L23" s="139"/>
      <c r="M23" s="139"/>
      <c r="N23" s="139"/>
    </row>
    <row r="24" spans="1:14">
      <c r="A24" s="2"/>
      <c r="B24" s="2"/>
      <c r="C24" s="2"/>
      <c r="D24" s="2"/>
      <c r="E24" s="2"/>
      <c r="F24" s="2"/>
      <c r="G24" s="139" t="s">
        <v>245</v>
      </c>
      <c r="H24" s="139"/>
      <c r="I24" s="139"/>
      <c r="J24" s="139"/>
      <c r="K24" s="139"/>
      <c r="L24" s="139"/>
      <c r="M24" s="139"/>
      <c r="N24" s="139"/>
    </row>
    <row r="25" spans="1:14">
      <c r="A25" s="2"/>
      <c r="B25" s="2"/>
      <c r="C25" s="2"/>
      <c r="D25" s="2"/>
      <c r="E25" s="2"/>
      <c r="F25" s="2"/>
      <c r="G25" s="139" t="s">
        <v>246</v>
      </c>
      <c r="H25" s="139"/>
      <c r="I25" s="139"/>
      <c r="J25" s="139"/>
      <c r="K25" s="139"/>
      <c r="L25" s="139"/>
      <c r="M25" s="139"/>
      <c r="N25" s="139"/>
    </row>
    <row r="26" spans="1:14">
      <c r="A26" s="2"/>
      <c r="B26" s="2"/>
      <c r="C26" s="2"/>
      <c r="D26" s="2"/>
      <c r="E26" s="2"/>
      <c r="F26" s="2"/>
      <c r="G26" s="139" t="s">
        <v>51</v>
      </c>
      <c r="H26" s="139"/>
      <c r="I26" s="139"/>
      <c r="J26" s="139"/>
      <c r="K26" s="139"/>
      <c r="L26" s="139"/>
      <c r="M26" s="139"/>
      <c r="N26" s="139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t="23.1" customHeight="1">
      <c r="A28" s="2"/>
      <c r="B28" s="140" t="s">
        <v>52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</row>
    <row r="29" spans="1:14">
      <c r="A29" s="2"/>
      <c r="B29" s="8" t="s">
        <v>53</v>
      </c>
      <c r="C29" s="141" t="s">
        <v>54</v>
      </c>
      <c r="D29" s="141" t="s">
        <v>55</v>
      </c>
      <c r="E29" s="141" t="s">
        <v>56</v>
      </c>
      <c r="F29" s="141" t="s">
        <v>57</v>
      </c>
      <c r="G29" s="141"/>
      <c r="H29" s="141"/>
      <c r="I29" s="141"/>
      <c r="J29" s="141"/>
      <c r="K29" s="141"/>
      <c r="L29" s="141"/>
      <c r="M29" s="141"/>
      <c r="N29" s="141"/>
    </row>
    <row r="30" spans="1:14" ht="27.95" customHeight="1">
      <c r="A30" s="2"/>
      <c r="B30" s="11" t="s">
        <v>58</v>
      </c>
      <c r="C30" s="142" t="s">
        <v>59</v>
      </c>
      <c r="D30" s="142"/>
      <c r="E30" s="142"/>
      <c r="F30" s="142"/>
      <c r="G30" s="142" t="s">
        <v>60</v>
      </c>
      <c r="H30" s="142"/>
      <c r="I30" s="142" t="s">
        <v>61</v>
      </c>
      <c r="J30" s="142"/>
      <c r="K30" s="142" t="s">
        <v>62</v>
      </c>
      <c r="L30" s="142"/>
      <c r="M30" s="142"/>
      <c r="N30" s="142"/>
    </row>
    <row r="31" spans="1:14" ht="27.95" customHeight="1">
      <c r="A31" s="2"/>
      <c r="B31" s="11" t="s">
        <v>63</v>
      </c>
      <c r="C31" s="142" t="s">
        <v>64</v>
      </c>
      <c r="D31" s="142"/>
      <c r="E31" s="142"/>
      <c r="F31" s="142"/>
      <c r="G31" s="142" t="s">
        <v>60</v>
      </c>
      <c r="H31" s="142"/>
      <c r="I31" s="142" t="s">
        <v>65</v>
      </c>
      <c r="J31" s="142"/>
      <c r="K31" s="142" t="s">
        <v>66</v>
      </c>
      <c r="L31" s="142"/>
      <c r="M31" s="142"/>
      <c r="N31" s="142"/>
    </row>
    <row r="32" spans="1:14" ht="27.95" customHeight="1">
      <c r="A32" s="2"/>
      <c r="B32" s="11" t="s">
        <v>67</v>
      </c>
      <c r="C32" s="142" t="s">
        <v>68</v>
      </c>
      <c r="D32" s="142"/>
      <c r="E32" s="142"/>
      <c r="F32" s="142"/>
      <c r="G32" s="142" t="s">
        <v>60</v>
      </c>
      <c r="H32" s="142"/>
      <c r="I32" s="142" t="s">
        <v>69</v>
      </c>
      <c r="J32" s="142"/>
      <c r="K32" s="142" t="s">
        <v>70</v>
      </c>
      <c r="L32" s="142"/>
      <c r="M32" s="142"/>
      <c r="N32" s="142"/>
    </row>
    <row r="33" spans="1:14" ht="27.95" customHeight="1">
      <c r="A33" s="2"/>
      <c r="B33" s="11" t="s">
        <v>71</v>
      </c>
      <c r="C33" s="142" t="s">
        <v>72</v>
      </c>
      <c r="D33" s="142"/>
      <c r="E33" s="142"/>
      <c r="F33" s="142"/>
      <c r="G33" s="142" t="s">
        <v>60</v>
      </c>
      <c r="H33" s="142"/>
      <c r="I33" s="142" t="s">
        <v>73</v>
      </c>
      <c r="J33" s="142"/>
      <c r="K33" s="142" t="s">
        <v>74</v>
      </c>
      <c r="L33" s="142"/>
      <c r="M33" s="142"/>
      <c r="N33" s="142"/>
    </row>
    <row r="34" spans="1:1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ht="23.1" customHeight="1">
      <c r="A36" s="2"/>
      <c r="B36" s="140" t="s">
        <v>75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</row>
    <row r="37" spans="1:14" ht="27" customHeight="1">
      <c r="A37" s="2"/>
      <c r="B37" s="12" t="s">
        <v>76</v>
      </c>
      <c r="C37" s="143" t="s">
        <v>77</v>
      </c>
      <c r="D37" s="143"/>
      <c r="E37" s="143"/>
      <c r="F37" s="144" t="s">
        <v>78</v>
      </c>
      <c r="G37" s="144"/>
      <c r="H37" s="144"/>
      <c r="I37" s="144"/>
      <c r="J37" s="144"/>
      <c r="K37" s="144"/>
      <c r="L37" s="144"/>
      <c r="M37" s="144"/>
      <c r="N37" s="144"/>
    </row>
    <row r="38" spans="1:14" ht="27" customHeight="1">
      <c r="A38" s="2"/>
      <c r="B38" s="12" t="s">
        <v>79</v>
      </c>
      <c r="C38" s="143" t="s">
        <v>80</v>
      </c>
      <c r="D38" s="143"/>
      <c r="E38" s="143"/>
      <c r="F38" s="144" t="s">
        <v>81</v>
      </c>
      <c r="G38" s="144"/>
      <c r="H38" s="144"/>
      <c r="I38" s="144"/>
      <c r="J38" s="144"/>
      <c r="K38" s="144"/>
      <c r="L38" s="144"/>
      <c r="M38" s="144"/>
      <c r="N38" s="144"/>
    </row>
    <row r="39" spans="1:14" ht="27" customHeight="1">
      <c r="A39" s="2"/>
      <c r="B39" s="12" t="s">
        <v>82</v>
      </c>
      <c r="C39" s="143" t="s">
        <v>83</v>
      </c>
      <c r="D39" s="143"/>
      <c r="E39" s="143"/>
      <c r="F39" s="144" t="s">
        <v>84</v>
      </c>
      <c r="G39" s="144"/>
      <c r="H39" s="144"/>
      <c r="I39" s="144"/>
      <c r="J39" s="144"/>
      <c r="K39" s="144"/>
      <c r="L39" s="144"/>
      <c r="M39" s="144"/>
      <c r="N39" s="144"/>
    </row>
    <row r="40" spans="1:14" ht="27" customHeight="1">
      <c r="A40" s="2"/>
      <c r="B40" s="12" t="s">
        <v>85</v>
      </c>
      <c r="C40" s="143" t="s">
        <v>86</v>
      </c>
      <c r="D40" s="143"/>
      <c r="E40" s="143"/>
      <c r="F40" s="144" t="s">
        <v>87</v>
      </c>
      <c r="G40" s="144"/>
      <c r="H40" s="144"/>
      <c r="I40" s="144"/>
      <c r="J40" s="144"/>
      <c r="K40" s="144"/>
      <c r="L40" s="144"/>
      <c r="M40" s="144"/>
      <c r="N40" s="144"/>
    </row>
    <row r="41" spans="1:14" ht="27" customHeight="1">
      <c r="A41" s="2"/>
      <c r="B41" s="12" t="s">
        <v>88</v>
      </c>
      <c r="C41" s="143" t="s">
        <v>26</v>
      </c>
      <c r="D41" s="143"/>
      <c r="E41" s="143"/>
      <c r="F41" s="144" t="s">
        <v>89</v>
      </c>
      <c r="G41" s="144"/>
      <c r="H41" s="144"/>
      <c r="I41" s="144"/>
      <c r="J41" s="144"/>
      <c r="K41" s="144"/>
      <c r="L41" s="144"/>
      <c r="M41" s="144"/>
      <c r="N41" s="144"/>
    </row>
    <row r="42" spans="1:14" ht="27" customHeight="1">
      <c r="A42" s="2"/>
      <c r="B42" s="12" t="s">
        <v>90</v>
      </c>
      <c r="C42" s="143" t="s">
        <v>91</v>
      </c>
      <c r="D42" s="143"/>
      <c r="E42" s="143"/>
      <c r="F42" s="144" t="s">
        <v>92</v>
      </c>
      <c r="G42" s="144"/>
      <c r="H42" s="144"/>
      <c r="I42" s="144"/>
      <c r="J42" s="144"/>
      <c r="K42" s="144"/>
      <c r="L42" s="144"/>
      <c r="M42" s="144"/>
      <c r="N42" s="144"/>
    </row>
    <row r="43" spans="1:1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145" t="s">
        <v>255</v>
      </c>
      <c r="C45" s="145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</row>
    <row r="46" spans="1:14">
      <c r="A46" s="2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</row>
    <row r="47" spans="1:14">
      <c r="A47" s="2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</row>
    <row r="48" spans="1:14">
      <c r="A48" s="2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</row>
    <row r="49" spans="1:1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</sheetData>
  <mergeCells count="61">
    <mergeCell ref="C42:E42"/>
    <mergeCell ref="F42:N42"/>
    <mergeCell ref="B45:N48"/>
    <mergeCell ref="C39:E39"/>
    <mergeCell ref="F39:N39"/>
    <mergeCell ref="C40:E40"/>
    <mergeCell ref="F40:N40"/>
    <mergeCell ref="C41:E41"/>
    <mergeCell ref="F41:N41"/>
    <mergeCell ref="B36:N36"/>
    <mergeCell ref="C37:E37"/>
    <mergeCell ref="F37:N37"/>
    <mergeCell ref="C38:E38"/>
    <mergeCell ref="F38:N38"/>
    <mergeCell ref="C32:F32"/>
    <mergeCell ref="G32:H32"/>
    <mergeCell ref="I32:J32"/>
    <mergeCell ref="K32:N32"/>
    <mergeCell ref="C33:F33"/>
    <mergeCell ref="G33:H33"/>
    <mergeCell ref="I33:J33"/>
    <mergeCell ref="K33:N33"/>
    <mergeCell ref="C30:F30"/>
    <mergeCell ref="G30:H30"/>
    <mergeCell ref="I30:J30"/>
    <mergeCell ref="K30:N30"/>
    <mergeCell ref="C31:F31"/>
    <mergeCell ref="G31:H31"/>
    <mergeCell ref="I31:J31"/>
    <mergeCell ref="K31:N31"/>
    <mergeCell ref="G26:N26"/>
    <mergeCell ref="B28:N28"/>
    <mergeCell ref="C29:F29"/>
    <mergeCell ref="G29:H29"/>
    <mergeCell ref="I29:J29"/>
    <mergeCell ref="K29:N29"/>
    <mergeCell ref="G21:N21"/>
    <mergeCell ref="G22:N22"/>
    <mergeCell ref="G23:N23"/>
    <mergeCell ref="G24:N24"/>
    <mergeCell ref="G25:N25"/>
    <mergeCell ref="B16:E16"/>
    <mergeCell ref="B17:E18"/>
    <mergeCell ref="B19:E20"/>
    <mergeCell ref="G16:N16"/>
    <mergeCell ref="G17:N17"/>
    <mergeCell ref="G18:N18"/>
    <mergeCell ref="G19:N19"/>
    <mergeCell ref="G20:N20"/>
    <mergeCell ref="B13:E14"/>
    <mergeCell ref="G9:J9"/>
    <mergeCell ref="G10:J12"/>
    <mergeCell ref="G13:J14"/>
    <mergeCell ref="L9:N9"/>
    <mergeCell ref="L10:N12"/>
    <mergeCell ref="L13:N14"/>
    <mergeCell ref="K2:N5"/>
    <mergeCell ref="B2:J3"/>
    <mergeCell ref="B4:J4"/>
    <mergeCell ref="B9:E9"/>
    <mergeCell ref="B10:E12"/>
  </mergeCells>
  <pageMargins left="0.7" right="0.7" top="0.75" bottom="0.75" header="0.3" footer="0.3"/>
  <pageSetup paperSize="9" scale="94" fitToHeight="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4B400"/>
    <pageSetUpPr fitToPage="1"/>
  </sheetPr>
  <dimension ref="A1:L56"/>
  <sheetViews>
    <sheetView showGridLines="0" zoomScale="130" zoomScaleNormal="130" workbookViewId="0">
      <selection activeCell="Q20" sqref="Q20"/>
    </sheetView>
  </sheetViews>
  <sheetFormatPr defaultRowHeight="14.25"/>
  <cols>
    <col min="1" max="1" width="2.5" customWidth="1"/>
    <col min="2" max="2" width="14.75" customWidth="1"/>
    <col min="3" max="3" width="14" customWidth="1"/>
    <col min="4" max="4" width="24" customWidth="1"/>
    <col min="5" max="5" width="22.375" bestFit="1" customWidth="1"/>
    <col min="6" max="6" width="14" customWidth="1"/>
    <col min="7" max="7" width="15" customWidth="1"/>
    <col min="8" max="8" width="13" customWidth="1"/>
    <col min="9" max="9" width="12" customWidth="1"/>
    <col min="10" max="10" width="24" customWidth="1"/>
    <col min="11" max="11" width="14.625" customWidth="1"/>
    <col min="12" max="12" width="18.625" customWidth="1"/>
  </cols>
  <sheetData>
    <row r="1" spans="1:12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14.25" customHeight="1">
      <c r="A2" s="2"/>
      <c r="B2" s="129" t="s">
        <v>93</v>
      </c>
      <c r="C2" s="129"/>
      <c r="D2" s="129"/>
      <c r="E2" s="129"/>
      <c r="F2" s="129"/>
      <c r="G2" s="130"/>
      <c r="H2" s="130"/>
      <c r="I2" s="152" t="s">
        <v>94</v>
      </c>
      <c r="J2" s="153"/>
      <c r="K2" s="153"/>
      <c r="L2" s="154"/>
    </row>
    <row r="3" spans="1:12">
      <c r="A3" s="2"/>
      <c r="B3" s="129"/>
      <c r="C3" s="129"/>
      <c r="D3" s="129"/>
      <c r="E3" s="129"/>
      <c r="F3" s="129"/>
      <c r="G3" s="130"/>
      <c r="H3" s="130"/>
      <c r="I3" s="155"/>
      <c r="J3" s="156"/>
      <c r="K3" s="156"/>
      <c r="L3" s="157"/>
    </row>
    <row r="4" spans="1:12">
      <c r="A4" s="2"/>
      <c r="B4" s="131" t="s">
        <v>95</v>
      </c>
      <c r="C4" s="131"/>
      <c r="D4" s="131"/>
      <c r="E4" s="131"/>
      <c r="F4" s="131"/>
      <c r="G4" s="132"/>
      <c r="H4" s="132"/>
      <c r="I4" s="155"/>
      <c r="J4" s="156"/>
      <c r="K4" s="156"/>
      <c r="L4" s="157"/>
    </row>
    <row r="5" spans="1:12">
      <c r="A5" s="2"/>
      <c r="B5" s="10"/>
      <c r="C5" s="10"/>
      <c r="D5" s="10"/>
      <c r="E5" s="10"/>
      <c r="F5" s="10"/>
      <c r="G5" s="3"/>
      <c r="H5" s="3"/>
      <c r="I5" s="158"/>
      <c r="J5" s="159"/>
      <c r="K5" s="159"/>
      <c r="L5" s="160"/>
    </row>
    <row r="6" spans="1:12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ht="23.1" customHeight="1">
      <c r="A9" s="2"/>
      <c r="B9" s="148" t="s">
        <v>96</v>
      </c>
      <c r="C9" s="149"/>
      <c r="D9" s="149"/>
      <c r="E9" s="150"/>
      <c r="F9" s="2"/>
      <c r="G9" s="2"/>
      <c r="H9" s="2"/>
      <c r="I9" s="2"/>
      <c r="J9" s="2"/>
      <c r="K9" s="2"/>
      <c r="L9" s="2"/>
    </row>
    <row r="10" spans="1:12">
      <c r="A10" s="2"/>
      <c r="B10" s="13" t="s">
        <v>97</v>
      </c>
      <c r="C10" s="13" t="s">
        <v>98</v>
      </c>
      <c r="D10" s="13" t="s">
        <v>99</v>
      </c>
      <c r="E10" s="13" t="s">
        <v>100</v>
      </c>
      <c r="F10" s="2"/>
      <c r="G10" s="2"/>
      <c r="H10" s="2"/>
      <c r="I10" s="2"/>
      <c r="J10" s="2"/>
      <c r="K10" s="2"/>
      <c r="L10" s="2"/>
    </row>
    <row r="11" spans="1:12" ht="24" customHeight="1">
      <c r="A11" s="2"/>
      <c r="B11" s="14" t="s">
        <v>101</v>
      </c>
      <c r="C11" s="15" t="s">
        <v>217</v>
      </c>
      <c r="D11" s="14" t="s">
        <v>218</v>
      </c>
      <c r="E11" s="14" t="s">
        <v>219</v>
      </c>
      <c r="F11" s="2"/>
      <c r="G11" s="2"/>
      <c r="H11" s="2"/>
      <c r="I11" s="2"/>
      <c r="J11" s="2"/>
      <c r="K11" s="2"/>
      <c r="L11" s="2"/>
    </row>
    <row r="12" spans="1:12" ht="24" customHeight="1">
      <c r="A12" s="2"/>
      <c r="B12" s="14" t="s">
        <v>102</v>
      </c>
      <c r="C12" s="15" t="s">
        <v>103</v>
      </c>
      <c r="D12" s="14" t="s">
        <v>104</v>
      </c>
      <c r="E12" s="14" t="s">
        <v>105</v>
      </c>
      <c r="F12" s="2"/>
      <c r="G12" s="2"/>
      <c r="H12" s="2"/>
      <c r="I12" s="2"/>
      <c r="J12" s="2"/>
      <c r="K12" s="2"/>
      <c r="L12" s="2"/>
    </row>
    <row r="13" spans="1:12" ht="24" customHeight="1">
      <c r="A13" s="2"/>
      <c r="B13" s="14" t="s">
        <v>106</v>
      </c>
      <c r="C13" s="15" t="s">
        <v>107</v>
      </c>
      <c r="D13" s="14" t="s">
        <v>108</v>
      </c>
      <c r="E13" s="14" t="s">
        <v>109</v>
      </c>
      <c r="F13" s="2"/>
      <c r="G13" s="2"/>
      <c r="H13" s="2"/>
      <c r="I13" s="2"/>
      <c r="J13" s="2"/>
      <c r="K13" s="2"/>
      <c r="L13" s="2"/>
    </row>
    <row r="14" spans="1:12" ht="24" customHeight="1">
      <c r="A14" s="2"/>
      <c r="B14" s="14" t="s">
        <v>110</v>
      </c>
      <c r="C14" s="15" t="s">
        <v>111</v>
      </c>
      <c r="D14" s="14" t="s">
        <v>112</v>
      </c>
      <c r="E14" s="14" t="s">
        <v>113</v>
      </c>
      <c r="F14" s="2"/>
      <c r="G14" s="2"/>
      <c r="H14" s="2"/>
      <c r="I14" s="2"/>
      <c r="J14" s="2"/>
      <c r="K14" s="2"/>
      <c r="L14" s="2"/>
    </row>
    <row r="15" spans="1:12" ht="24" customHeight="1">
      <c r="A15" s="2"/>
      <c r="B15" s="14" t="s">
        <v>114</v>
      </c>
      <c r="C15" s="16" t="b">
        <v>1</v>
      </c>
      <c r="D15" s="14" t="s">
        <v>115</v>
      </c>
      <c r="E15" s="14" t="s">
        <v>116</v>
      </c>
      <c r="F15" s="2"/>
      <c r="G15" s="2"/>
      <c r="H15" s="2"/>
      <c r="I15" s="2"/>
      <c r="J15" s="2"/>
      <c r="K15" s="2"/>
      <c r="L15" s="2"/>
    </row>
    <row r="16" spans="1:12" ht="24" customHeight="1">
      <c r="A16" s="2"/>
      <c r="B16" s="14" t="s">
        <v>236</v>
      </c>
      <c r="C16" s="15" t="s">
        <v>247</v>
      </c>
      <c r="D16" s="14" t="s">
        <v>237</v>
      </c>
      <c r="E16" s="14" t="s">
        <v>238</v>
      </c>
      <c r="F16" s="2"/>
      <c r="G16" s="2"/>
      <c r="H16" s="2"/>
      <c r="I16" s="2"/>
      <c r="J16" s="2"/>
      <c r="K16" s="2"/>
      <c r="L16" s="2"/>
    </row>
    <row r="17" spans="1:12" ht="24" customHeight="1">
      <c r="A17" s="2"/>
      <c r="B17" s="14" t="s">
        <v>239</v>
      </c>
      <c r="C17" s="15" t="s">
        <v>248</v>
      </c>
      <c r="D17" s="14" t="s">
        <v>240</v>
      </c>
      <c r="E17" s="14" t="s">
        <v>238</v>
      </c>
      <c r="F17" s="2"/>
      <c r="G17" s="2"/>
      <c r="H17" s="2"/>
      <c r="I17" s="2"/>
      <c r="J17" s="2"/>
      <c r="K17" s="2"/>
      <c r="L17" s="2"/>
    </row>
    <row r="18" spans="1:1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ht="23.1" customHeight="1">
      <c r="A19" s="2"/>
      <c r="B19" s="151" t="s">
        <v>117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</row>
    <row r="20" spans="1:12" ht="24.95" customHeight="1">
      <c r="A20" s="2"/>
      <c r="B20" s="18" t="s">
        <v>118</v>
      </c>
      <c r="C20" s="18" t="s">
        <v>119</v>
      </c>
      <c r="D20" s="18" t="s">
        <v>120</v>
      </c>
      <c r="E20" s="18" t="s">
        <v>14</v>
      </c>
      <c r="F20" s="18" t="s">
        <v>121</v>
      </c>
      <c r="G20" s="18" t="s">
        <v>122</v>
      </c>
      <c r="H20" s="18" t="s">
        <v>220</v>
      </c>
      <c r="I20" s="18" t="s">
        <v>15</v>
      </c>
      <c r="J20" s="18" t="s">
        <v>16</v>
      </c>
      <c r="K20" s="18" t="s">
        <v>17</v>
      </c>
      <c r="L20" s="18" t="s">
        <v>123</v>
      </c>
    </row>
    <row r="21" spans="1:12" ht="24.95" customHeight="1">
      <c r="A21" s="2"/>
      <c r="B21" s="19" t="b">
        <v>1</v>
      </c>
      <c r="C21" s="29" t="s">
        <v>3</v>
      </c>
      <c r="D21" s="20" t="s">
        <v>124</v>
      </c>
      <c r="E21" s="20" t="s">
        <v>125</v>
      </c>
      <c r="F21" s="20" t="s">
        <v>221</v>
      </c>
      <c r="G21" s="20" t="s">
        <v>126</v>
      </c>
      <c r="H21" s="20" t="s">
        <v>27</v>
      </c>
      <c r="I21" s="20" t="s">
        <v>27</v>
      </c>
      <c r="J21" s="21">
        <v>1</v>
      </c>
      <c r="K21" s="22">
        <v>46249.870324074072</v>
      </c>
      <c r="L21" s="23" t="s">
        <v>222</v>
      </c>
    </row>
    <row r="22" spans="1:12" ht="24.95" customHeight="1">
      <c r="A22" s="2"/>
      <c r="B22" s="24" t="b">
        <v>1</v>
      </c>
      <c r="C22" s="30" t="s">
        <v>36</v>
      </c>
      <c r="D22" s="25" t="s">
        <v>127</v>
      </c>
      <c r="E22" s="25" t="s">
        <v>128</v>
      </c>
      <c r="F22" s="25" t="s">
        <v>221</v>
      </c>
      <c r="G22" s="25" t="s">
        <v>126</v>
      </c>
      <c r="H22" s="25" t="s">
        <v>27</v>
      </c>
      <c r="I22" s="25" t="s">
        <v>27</v>
      </c>
      <c r="J22" s="26">
        <v>1</v>
      </c>
      <c r="K22" s="27">
        <v>46249.870335648149</v>
      </c>
      <c r="L22" s="28" t="s">
        <v>222</v>
      </c>
    </row>
    <row r="23" spans="1:12" ht="24.95" customHeight="1">
      <c r="A23" s="2"/>
      <c r="B23" s="19" t="b">
        <v>1</v>
      </c>
      <c r="C23" s="29" t="s">
        <v>35</v>
      </c>
      <c r="D23" s="20" t="s">
        <v>129</v>
      </c>
      <c r="E23" s="20" t="s">
        <v>130</v>
      </c>
      <c r="F23" s="20" t="s">
        <v>221</v>
      </c>
      <c r="G23" s="20" t="s">
        <v>126</v>
      </c>
      <c r="H23" s="20" t="s">
        <v>27</v>
      </c>
      <c r="I23" s="20" t="s">
        <v>27</v>
      </c>
      <c r="J23" s="21">
        <v>1</v>
      </c>
      <c r="K23" s="22">
        <v>46249.870347222219</v>
      </c>
      <c r="L23" s="23" t="s">
        <v>222</v>
      </c>
    </row>
    <row r="24" spans="1:12" ht="24.95" customHeight="1">
      <c r="A24" s="2"/>
      <c r="B24" s="24" t="b">
        <v>1</v>
      </c>
      <c r="C24" s="30" t="s">
        <v>31</v>
      </c>
      <c r="D24" s="25" t="s">
        <v>131</v>
      </c>
      <c r="E24" s="25" t="s">
        <v>132</v>
      </c>
      <c r="F24" s="25" t="s">
        <v>221</v>
      </c>
      <c r="G24" s="25" t="s">
        <v>33</v>
      </c>
      <c r="H24" s="25" t="s">
        <v>32</v>
      </c>
      <c r="I24" s="25" t="s">
        <v>32</v>
      </c>
      <c r="J24" s="26">
        <v>1</v>
      </c>
      <c r="K24" s="27">
        <v>46249.870358796295</v>
      </c>
      <c r="L24" s="28" t="s">
        <v>34</v>
      </c>
    </row>
    <row r="25" spans="1:12" ht="24.95" customHeight="1">
      <c r="A25" s="2"/>
      <c r="B25" s="19" t="b">
        <v>1</v>
      </c>
      <c r="C25" s="29" t="s">
        <v>133</v>
      </c>
      <c r="D25" s="20" t="s">
        <v>134</v>
      </c>
      <c r="E25" s="20" t="s">
        <v>135</v>
      </c>
      <c r="F25" s="20" t="s">
        <v>221</v>
      </c>
      <c r="G25" s="20" t="s">
        <v>126</v>
      </c>
      <c r="H25" s="20" t="s">
        <v>27</v>
      </c>
      <c r="I25" s="20" t="s">
        <v>27</v>
      </c>
      <c r="J25" s="21">
        <v>1</v>
      </c>
      <c r="K25" s="22">
        <v>46249.870358796295</v>
      </c>
      <c r="L25" s="23" t="s">
        <v>222</v>
      </c>
    </row>
    <row r="26" spans="1:12" ht="24.95" customHeight="1">
      <c r="A26" s="2"/>
      <c r="B26" s="24" t="b">
        <v>0</v>
      </c>
      <c r="C26" s="30" t="s">
        <v>136</v>
      </c>
      <c r="D26" s="25" t="s">
        <v>137</v>
      </c>
      <c r="E26" s="25" t="s">
        <v>138</v>
      </c>
      <c r="F26" s="25" t="s">
        <v>221</v>
      </c>
      <c r="G26" s="25" t="s">
        <v>139</v>
      </c>
      <c r="H26" s="25" t="s">
        <v>140</v>
      </c>
      <c r="I26" s="25" t="s">
        <v>141</v>
      </c>
      <c r="J26" s="26">
        <v>0</v>
      </c>
      <c r="K26" s="27"/>
      <c r="L26" s="28" t="s">
        <v>142</v>
      </c>
    </row>
    <row r="27" spans="1:1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ht="23.1" customHeight="1">
      <c r="A29" s="2"/>
      <c r="B29" s="151" t="s">
        <v>143</v>
      </c>
      <c r="C29" s="151"/>
      <c r="D29" s="151"/>
      <c r="E29" s="151"/>
      <c r="F29" s="151"/>
      <c r="G29" s="151"/>
      <c r="H29" s="151"/>
      <c r="I29" s="151"/>
      <c r="J29" s="151"/>
      <c r="K29" s="17"/>
      <c r="L29" s="17"/>
    </row>
    <row r="30" spans="1:12" ht="24" customHeight="1">
      <c r="A30" s="2"/>
      <c r="B30" s="18" t="s">
        <v>118</v>
      </c>
      <c r="C30" s="18" t="s">
        <v>119</v>
      </c>
      <c r="D30" s="18" t="s">
        <v>144</v>
      </c>
      <c r="E30" s="18" t="s">
        <v>14</v>
      </c>
      <c r="F30" s="18" t="s">
        <v>145</v>
      </c>
      <c r="G30" s="18" t="s">
        <v>146</v>
      </c>
      <c r="H30" s="18" t="s">
        <v>98</v>
      </c>
      <c r="I30" s="18" t="s">
        <v>147</v>
      </c>
      <c r="J30" s="18" t="s">
        <v>148</v>
      </c>
      <c r="K30" s="2"/>
      <c r="L30" s="2"/>
    </row>
    <row r="31" spans="1:12" ht="24" customHeight="1">
      <c r="A31" s="2"/>
      <c r="B31" s="33" t="b">
        <v>1</v>
      </c>
      <c r="C31" s="34" t="s">
        <v>149</v>
      </c>
      <c r="D31" s="20" t="s">
        <v>150</v>
      </c>
      <c r="E31" s="34"/>
      <c r="F31" s="20" t="s">
        <v>151</v>
      </c>
      <c r="G31" s="34" t="s">
        <v>152</v>
      </c>
      <c r="H31" s="34" t="s">
        <v>153</v>
      </c>
      <c r="I31" s="33" t="b">
        <v>1</v>
      </c>
      <c r="J31" s="31" t="s">
        <v>153</v>
      </c>
      <c r="K31" s="2"/>
      <c r="L31" s="2"/>
    </row>
    <row r="32" spans="1:12" ht="24" customHeight="1">
      <c r="A32" s="2"/>
      <c r="B32" s="33" t="b">
        <v>1</v>
      </c>
      <c r="C32" s="34" t="s">
        <v>149</v>
      </c>
      <c r="D32" s="25" t="s">
        <v>154</v>
      </c>
      <c r="E32" s="34"/>
      <c r="F32" s="25" t="s">
        <v>155</v>
      </c>
      <c r="G32" s="34" t="s">
        <v>152</v>
      </c>
      <c r="H32" s="34" t="s">
        <v>156</v>
      </c>
      <c r="I32" s="33" t="b">
        <v>1</v>
      </c>
      <c r="J32" s="32" t="s">
        <v>156</v>
      </c>
      <c r="K32" s="2"/>
      <c r="L32" s="2"/>
    </row>
    <row r="33" spans="1:12" ht="24" customHeight="1">
      <c r="A33" s="2"/>
      <c r="B33" s="33" t="b">
        <v>1</v>
      </c>
      <c r="C33" s="34" t="s">
        <v>149</v>
      </c>
      <c r="D33" s="20" t="s">
        <v>157</v>
      </c>
      <c r="E33" s="34"/>
      <c r="F33" s="20" t="s">
        <v>158</v>
      </c>
      <c r="G33" s="34" t="s">
        <v>152</v>
      </c>
      <c r="H33" s="34" t="s">
        <v>159</v>
      </c>
      <c r="I33" s="33" t="b">
        <v>1</v>
      </c>
      <c r="J33" s="31" t="s">
        <v>159</v>
      </c>
      <c r="K33" s="2"/>
      <c r="L33" s="2"/>
    </row>
    <row r="34" spans="1:12" ht="24" customHeight="1">
      <c r="A34" s="2"/>
      <c r="B34" s="33" t="b">
        <v>1</v>
      </c>
      <c r="C34" s="34" t="s">
        <v>3</v>
      </c>
      <c r="D34" s="25" t="s">
        <v>160</v>
      </c>
      <c r="E34" s="34" t="s">
        <v>125</v>
      </c>
      <c r="F34" s="25" t="s">
        <v>161</v>
      </c>
      <c r="G34" s="34" t="s">
        <v>152</v>
      </c>
      <c r="H34" s="34" t="s">
        <v>162</v>
      </c>
      <c r="I34" s="33" t="b">
        <v>0</v>
      </c>
      <c r="J34" s="32" t="s">
        <v>162</v>
      </c>
      <c r="K34" s="2"/>
      <c r="L34" s="2"/>
    </row>
    <row r="35" spans="1:12" ht="24" customHeight="1">
      <c r="A35" s="2"/>
      <c r="B35" s="33" t="b">
        <v>1</v>
      </c>
      <c r="C35" s="34" t="s">
        <v>35</v>
      </c>
      <c r="D35" s="20" t="s">
        <v>163</v>
      </c>
      <c r="E35" s="34" t="s">
        <v>130</v>
      </c>
      <c r="F35" s="20" t="s">
        <v>164</v>
      </c>
      <c r="G35" s="34" t="s">
        <v>165</v>
      </c>
      <c r="H35" s="34"/>
      <c r="I35" s="33" t="b">
        <v>0</v>
      </c>
      <c r="J35" s="31" t="s">
        <v>204</v>
      </c>
      <c r="K35" s="2"/>
      <c r="L35" s="2"/>
    </row>
    <row r="36" spans="1:12" ht="24" customHeight="1">
      <c r="A36" s="2"/>
      <c r="B36" s="33" t="b">
        <v>0</v>
      </c>
      <c r="C36" s="34" t="s">
        <v>36</v>
      </c>
      <c r="D36" s="25" t="s">
        <v>167</v>
      </c>
      <c r="E36" s="34" t="s">
        <v>128</v>
      </c>
      <c r="F36" s="25" t="s">
        <v>164</v>
      </c>
      <c r="G36" s="34" t="s">
        <v>168</v>
      </c>
      <c r="H36" s="34"/>
      <c r="I36" s="33" t="b">
        <v>0</v>
      </c>
      <c r="J36" s="25" t="s">
        <v>166</v>
      </c>
      <c r="K36" s="2"/>
      <c r="L36" s="2"/>
    </row>
    <row r="37" spans="1:12" ht="24" customHeight="1">
      <c r="A37" s="2"/>
      <c r="B37" s="33" t="b">
        <v>0</v>
      </c>
      <c r="C37" s="34" t="s">
        <v>36</v>
      </c>
      <c r="D37" s="20" t="s">
        <v>169</v>
      </c>
      <c r="E37" s="34" t="s">
        <v>128</v>
      </c>
      <c r="F37" s="20" t="s">
        <v>164</v>
      </c>
      <c r="G37" s="34" t="s">
        <v>170</v>
      </c>
      <c r="H37" s="34"/>
      <c r="I37" s="33" t="b">
        <v>0</v>
      </c>
      <c r="J37" s="20" t="s">
        <v>166</v>
      </c>
      <c r="K37" s="2"/>
      <c r="L37" s="2"/>
    </row>
    <row r="38" spans="1:1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ht="23.1" customHeight="1">
      <c r="A40" s="2"/>
      <c r="B40" s="151" t="s">
        <v>229</v>
      </c>
      <c r="C40" s="151"/>
      <c r="D40" s="17"/>
      <c r="E40" s="17"/>
      <c r="F40" s="2"/>
      <c r="G40" s="146" t="s">
        <v>171</v>
      </c>
      <c r="H40" s="146"/>
      <c r="I40" s="146"/>
      <c r="J40" s="146"/>
      <c r="K40" s="146"/>
      <c r="L40" s="146"/>
    </row>
    <row r="41" spans="1:12" ht="21.95" customHeight="1">
      <c r="A41" s="2"/>
      <c r="B41" s="35" t="s">
        <v>172</v>
      </c>
      <c r="C41" s="35" t="s">
        <v>173</v>
      </c>
      <c r="D41" s="2"/>
      <c r="E41" s="2"/>
      <c r="F41" s="2"/>
      <c r="G41" s="146"/>
      <c r="H41" s="146"/>
      <c r="I41" s="146"/>
      <c r="J41" s="146"/>
      <c r="K41" s="146"/>
      <c r="L41" s="146"/>
    </row>
    <row r="42" spans="1:12" ht="21.95" customHeight="1">
      <c r="A42" s="2"/>
      <c r="B42" s="36">
        <v>46023</v>
      </c>
      <c r="C42" s="37" t="s">
        <v>174</v>
      </c>
      <c r="D42" s="2"/>
      <c r="E42" s="2"/>
      <c r="F42" s="2"/>
      <c r="G42" s="146"/>
      <c r="H42" s="146"/>
      <c r="I42" s="146"/>
      <c r="J42" s="146"/>
      <c r="K42" s="146"/>
      <c r="L42" s="146"/>
    </row>
    <row r="43" spans="1:12" ht="21.95" customHeight="1">
      <c r="A43" s="2"/>
      <c r="B43" s="38">
        <v>46115</v>
      </c>
      <c r="C43" s="39" t="s">
        <v>175</v>
      </c>
      <c r="D43" s="2"/>
      <c r="E43" s="2"/>
      <c r="F43" s="2"/>
      <c r="G43" s="146"/>
      <c r="H43" s="146"/>
      <c r="I43" s="146"/>
      <c r="J43" s="146"/>
      <c r="K43" s="146"/>
      <c r="L43" s="146"/>
    </row>
    <row r="44" spans="1:12" ht="21.95" customHeight="1">
      <c r="A44" s="2"/>
      <c r="B44" s="36">
        <v>46118</v>
      </c>
      <c r="C44" s="37" t="s">
        <v>176</v>
      </c>
      <c r="D44" s="2"/>
      <c r="E44" s="2"/>
      <c r="F44" s="2"/>
      <c r="G44" s="146"/>
      <c r="H44" s="146"/>
      <c r="I44" s="146"/>
      <c r="J44" s="146"/>
      <c r="K44" s="146"/>
      <c r="L44" s="146"/>
    </row>
    <row r="45" spans="1:12" ht="21.95" customHeight="1">
      <c r="A45" s="2"/>
      <c r="B45" s="38">
        <v>46146</v>
      </c>
      <c r="C45" s="39" t="s">
        <v>177</v>
      </c>
      <c r="D45" s="2"/>
      <c r="E45" s="2"/>
      <c r="F45" s="2"/>
      <c r="G45" s="2"/>
      <c r="H45" s="2"/>
      <c r="I45" s="2"/>
      <c r="J45" s="2"/>
      <c r="K45" s="2"/>
      <c r="L45" s="2"/>
    </row>
    <row r="46" spans="1:12" ht="21.95" customHeight="1">
      <c r="A46" s="2"/>
      <c r="B46" s="36">
        <v>46167</v>
      </c>
      <c r="C46" s="37" t="s">
        <v>178</v>
      </c>
      <c r="D46" s="2"/>
      <c r="E46" s="2"/>
      <c r="F46" s="2"/>
      <c r="G46" s="147" t="s">
        <v>251</v>
      </c>
      <c r="H46" s="147"/>
      <c r="I46" s="147"/>
      <c r="J46" s="147"/>
      <c r="K46" s="147"/>
      <c r="L46" s="147"/>
    </row>
    <row r="47" spans="1:12" ht="21.95" customHeight="1">
      <c r="A47" s="2"/>
      <c r="B47" s="38">
        <v>46265</v>
      </c>
      <c r="C47" s="39" t="s">
        <v>179</v>
      </c>
      <c r="D47" s="2"/>
      <c r="E47" s="2"/>
      <c r="F47" s="2"/>
      <c r="G47" s="147"/>
      <c r="H47" s="147"/>
      <c r="I47" s="147"/>
      <c r="J47" s="147"/>
      <c r="K47" s="147"/>
      <c r="L47" s="147"/>
    </row>
    <row r="48" spans="1:12" ht="21.95" customHeight="1">
      <c r="A48" s="2"/>
      <c r="B48" s="36">
        <v>46381</v>
      </c>
      <c r="C48" s="37" t="s">
        <v>180</v>
      </c>
      <c r="D48" s="2"/>
      <c r="E48" s="2"/>
      <c r="F48" s="2"/>
      <c r="G48" s="147"/>
      <c r="H48" s="147"/>
      <c r="I48" s="147"/>
      <c r="J48" s="147"/>
      <c r="K48" s="147"/>
      <c r="L48" s="147"/>
    </row>
    <row r="49" spans="1:12" ht="21.95" customHeight="1">
      <c r="A49" s="2"/>
      <c r="B49" s="38">
        <v>46384</v>
      </c>
      <c r="C49" s="39" t="s">
        <v>181</v>
      </c>
      <c r="D49" s="2"/>
      <c r="E49" s="2"/>
      <c r="F49" s="2"/>
      <c r="G49" s="147"/>
      <c r="H49" s="147"/>
      <c r="I49" s="147"/>
      <c r="J49" s="147"/>
      <c r="K49" s="147"/>
      <c r="L49" s="147"/>
    </row>
    <row r="50" spans="1:1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</sheetData>
  <mergeCells count="9">
    <mergeCell ref="G40:L44"/>
    <mergeCell ref="G46:L49"/>
    <mergeCell ref="B2:H3"/>
    <mergeCell ref="B4:H4"/>
    <mergeCell ref="B9:E9"/>
    <mergeCell ref="B19:L19"/>
    <mergeCell ref="B29:J29"/>
    <mergeCell ref="B40:C40"/>
    <mergeCell ref="I2:L5"/>
  </mergeCells>
  <conditionalFormatting sqref="I21:I26">
    <cfRule type="expression" dxfId="64" priority="1" stopIfTrue="1">
      <formula>$I21="Success"</formula>
    </cfRule>
    <cfRule type="expression" dxfId="63" priority="2" stopIfTrue="1">
      <formula>$I21="Warning"</formula>
    </cfRule>
    <cfRule type="expression" dxfId="62" priority="3" stopIfTrue="1">
      <formula>$I21="Failed"</formula>
    </cfRule>
    <cfRule type="expression" dxfId="61" priority="4" stopIfTrue="1">
      <formula>$I21="Running"</formula>
    </cfRule>
    <cfRule type="expression" dxfId="60" priority="5" stopIfTrue="1">
      <formula>$I21="Ready"</formula>
    </cfRule>
    <cfRule type="expression" dxfId="59" priority="6" stopIfTrue="1">
      <formula>$I21="Not Run"</formula>
    </cfRule>
  </conditionalFormatting>
  <conditionalFormatting sqref="J21:J26">
    <cfRule type="dataBar" priority="7">
      <dataBar>
        <cfvo type="num" val="0"/>
        <cfvo type="num" val="1"/>
        <color rgb="FF2ED47A"/>
      </dataBar>
      <extLst>
        <ext xmlns:x14="http://schemas.microsoft.com/office/spreadsheetml/2009/9/main" uri="{B025F937-C7B1-47D3-B67F-A62EFF666E3E}">
          <x14:id>{DDB4CE04-56B2-4865-8A97-D9C18EB1D59A}</x14:id>
        </ext>
      </extLst>
    </cfRule>
  </conditionalFormatting>
  <dataValidations count="6">
    <dataValidation type="list" sqref="B21:B26 I31:I37 B31:B37 C15" xr:uid="{00000000-0002-0000-0200-000001000000}">
      <formula1>"true,false"</formula1>
    </dataValidation>
    <dataValidation type="list" sqref="G21:G26" xr:uid="{00000000-0002-0000-0200-000003000000}">
      <formula1>"PDF,XLSX,CSV,PDF,XLSX,PDF,CSV,XLSX,CSV,PDF,XLSX,CSV"</formula1>
    </dataValidation>
    <dataValidation type="list" sqref="H21:H26" xr:uid="{00000000-0002-0000-0200-000004000000}">
      <formula1>"Success,Warning,Failed"</formula1>
    </dataValidation>
    <dataValidation type="list" sqref="G31:G37" xr:uid="{00000000-0002-0000-0200-000006000000}">
      <formula1>"VALUE,LAST_13_WEEKS,WEEK_STARTS,FY_DAILY,FY_MONTH_STARTS"</formula1>
    </dataValidation>
    <dataValidation type="list" allowBlank="1" showInputMessage="1" showErrorMessage="1" sqref="C11" xr:uid="{CDE438C3-6C50-45DB-9D03-6D0DD8E434B4}">
      <formula1>"SIMULATION,LIVE"</formula1>
    </dataValidation>
    <dataValidation type="list" showDropDown="1" sqref="C17 C16" xr:uid="{84B93FB6-BF2A-4ACF-B924-3730662AAA79}">
      <formula1>"true,false"</formula1>
    </dataValidation>
  </dataValidations>
  <pageMargins left="0.7" right="0.7" top="0.75" bottom="0.75" header="0.3" footer="0.3"/>
  <pageSetup paperSize="9" scale="68" fitToHeight="2" orientation="landscape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B4CE04-56B2-4865-8A97-D9C18EB1D59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J21:J26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6C5CE7"/>
    <pageSetUpPr fitToPage="1"/>
  </sheetPr>
  <dimension ref="A1:I46"/>
  <sheetViews>
    <sheetView showGridLines="0" showRowColHeaders="0" zoomScale="130" zoomScaleNormal="130" workbookViewId="0">
      <selection activeCell="A47" sqref="A47"/>
    </sheetView>
  </sheetViews>
  <sheetFormatPr defaultRowHeight="14.25"/>
  <cols>
    <col min="1" max="1" width="2.5" customWidth="1"/>
    <col min="2" max="2" width="19" customWidth="1"/>
    <col min="3" max="3" width="12" customWidth="1"/>
    <col min="4" max="4" width="24" customWidth="1"/>
    <col min="5" max="5" width="14" customWidth="1"/>
    <col min="6" max="7" width="12" customWidth="1"/>
    <col min="8" max="8" width="28" customWidth="1"/>
    <col min="9" max="9" width="42" customWidth="1"/>
  </cols>
  <sheetData>
    <row r="1" spans="1:9" ht="8.1" customHeight="1">
      <c r="A1" s="2"/>
      <c r="B1" s="2"/>
      <c r="C1" s="2"/>
      <c r="D1" s="2"/>
      <c r="E1" s="2"/>
      <c r="F1" s="2"/>
      <c r="G1" s="2"/>
      <c r="H1" s="2"/>
      <c r="I1" s="2"/>
    </row>
    <row r="2" spans="1:9" ht="14.25" customHeight="1">
      <c r="A2" s="2"/>
      <c r="B2" s="43" t="s">
        <v>182</v>
      </c>
      <c r="C2" s="43"/>
      <c r="D2" s="43"/>
      <c r="E2" s="173" t="s">
        <v>230</v>
      </c>
      <c r="F2" s="173"/>
      <c r="G2" s="175" t="s">
        <v>226</v>
      </c>
      <c r="H2" s="175"/>
      <c r="I2" s="44" t="s">
        <v>231</v>
      </c>
    </row>
    <row r="3" spans="1:9" ht="14.25" customHeight="1">
      <c r="A3" s="2"/>
      <c r="B3" s="43"/>
      <c r="C3" s="43"/>
      <c r="D3" s="43"/>
      <c r="E3" s="174">
        <f ca="1">COUNTA(tblRunHistory[Action])</f>
        <v>15</v>
      </c>
      <c r="F3" s="174"/>
      <c r="G3" s="176" t="str">
        <f ca="1">TEXT(IFERROR(COUNTIF(tblRunHistory[Status],"Success")/COUNTA(tblRunHistory[Status]),0),"0%")</f>
        <v>87%</v>
      </c>
      <c r="H3" s="176"/>
      <c r="I3" s="176" t="str">
        <f ca="1">TEXT(IFERROR(AVERAGEIF(tblRunHistory[Duration (s)],"&gt;0"),0),"0.0")</f>
        <v>3.5</v>
      </c>
    </row>
    <row r="4" spans="1:9">
      <c r="A4" s="2"/>
      <c r="B4" s="10" t="s">
        <v>183</v>
      </c>
      <c r="C4" s="10"/>
      <c r="D4" s="10"/>
      <c r="E4" s="174"/>
      <c r="F4" s="174"/>
      <c r="G4" s="176"/>
      <c r="H4" s="176"/>
      <c r="I4" s="176"/>
    </row>
    <row r="5" spans="1:9">
      <c r="A5" s="2"/>
      <c r="B5" s="10"/>
      <c r="C5" s="10"/>
      <c r="D5" s="10"/>
      <c r="E5" s="174"/>
      <c r="F5" s="174"/>
      <c r="G5" s="176"/>
      <c r="H5" s="176"/>
      <c r="I5" s="176"/>
    </row>
    <row r="6" spans="1:9">
      <c r="A6" s="2"/>
      <c r="B6" s="3"/>
      <c r="C6" s="3"/>
      <c r="D6" s="3"/>
      <c r="E6" s="3"/>
      <c r="F6" s="3"/>
      <c r="G6" s="3"/>
      <c r="H6" s="3"/>
      <c r="I6" s="3"/>
    </row>
    <row r="7" spans="1:9" ht="3.95" customHeight="1">
      <c r="A7" s="2"/>
      <c r="B7" s="4"/>
      <c r="C7" s="4"/>
      <c r="D7" s="4"/>
      <c r="E7" s="4"/>
      <c r="F7" s="4"/>
      <c r="G7" s="4"/>
      <c r="H7" s="4"/>
      <c r="I7" s="4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 ht="24.95" customHeight="1">
      <c r="A9" s="2"/>
      <c r="B9" s="18" t="s">
        <v>184</v>
      </c>
      <c r="C9" s="18" t="s">
        <v>119</v>
      </c>
      <c r="D9" s="18" t="s">
        <v>120</v>
      </c>
      <c r="E9" s="18" t="s">
        <v>22</v>
      </c>
      <c r="F9" s="18" t="s">
        <v>15</v>
      </c>
      <c r="G9" s="18" t="s">
        <v>185</v>
      </c>
      <c r="H9" s="18" t="s">
        <v>24</v>
      </c>
      <c r="I9" s="18" t="s">
        <v>25</v>
      </c>
    </row>
    <row r="10" spans="1:9" ht="24.95" customHeight="1">
      <c r="A10" s="2"/>
      <c r="B10" s="51">
        <v>46249.870324074072</v>
      </c>
      <c r="C10" s="52"/>
      <c r="D10" s="52"/>
      <c r="E10" s="52" t="s">
        <v>209</v>
      </c>
      <c r="F10" s="52" t="s">
        <v>27</v>
      </c>
      <c r="G10" s="52">
        <v>0</v>
      </c>
      <c r="H10" s="52"/>
      <c r="I10" s="52" t="s">
        <v>223</v>
      </c>
    </row>
    <row r="11" spans="1:9" ht="24.95" customHeight="1">
      <c r="A11" s="2"/>
      <c r="B11" s="51">
        <v>46249.870324074072</v>
      </c>
      <c r="C11" s="52"/>
      <c r="D11" s="52"/>
      <c r="E11" s="52" t="s">
        <v>186</v>
      </c>
      <c r="F11" s="52" t="s">
        <v>27</v>
      </c>
      <c r="G11" s="52">
        <v>0</v>
      </c>
      <c r="H11" s="52"/>
      <c r="I11" s="52" t="s">
        <v>187</v>
      </c>
    </row>
    <row r="12" spans="1:9" ht="24.95" customHeight="1">
      <c r="A12" s="2"/>
      <c r="B12" s="51">
        <v>46249.870324074072</v>
      </c>
      <c r="C12" s="52" t="s">
        <v>3</v>
      </c>
      <c r="D12" s="52" t="s">
        <v>124</v>
      </c>
      <c r="E12" s="52" t="s">
        <v>26</v>
      </c>
      <c r="F12" s="52" t="s">
        <v>27</v>
      </c>
      <c r="G12" s="52">
        <v>0</v>
      </c>
      <c r="H12" s="52"/>
      <c r="I12" s="52" t="s">
        <v>222</v>
      </c>
    </row>
    <row r="13" spans="1:9" ht="24.95" customHeight="1">
      <c r="A13" s="2"/>
      <c r="B13" s="51">
        <v>46249.870324074072</v>
      </c>
      <c r="C13" s="52"/>
      <c r="D13" s="52"/>
      <c r="E13" s="52" t="s">
        <v>186</v>
      </c>
      <c r="F13" s="52" t="s">
        <v>27</v>
      </c>
      <c r="G13" s="52">
        <v>0</v>
      </c>
      <c r="H13" s="52"/>
      <c r="I13" s="52" t="s">
        <v>187</v>
      </c>
    </row>
    <row r="14" spans="1:9" ht="24.95" customHeight="1">
      <c r="A14" s="2"/>
      <c r="B14" s="51">
        <v>46249.870324074072</v>
      </c>
      <c r="C14" s="52" t="s">
        <v>3</v>
      </c>
      <c r="D14" s="52" t="s">
        <v>124</v>
      </c>
      <c r="E14" s="52" t="s">
        <v>26</v>
      </c>
      <c r="F14" s="52" t="s">
        <v>27</v>
      </c>
      <c r="G14" s="52">
        <v>0</v>
      </c>
      <c r="H14" s="52"/>
      <c r="I14" s="52" t="s">
        <v>222</v>
      </c>
    </row>
    <row r="15" spans="1:9">
      <c r="A15" s="2"/>
      <c r="B15" s="51">
        <v>46249.870335648149</v>
      </c>
      <c r="C15" s="52" t="s">
        <v>3</v>
      </c>
      <c r="D15" s="52" t="s">
        <v>124</v>
      </c>
      <c r="E15" s="52" t="s">
        <v>210</v>
      </c>
      <c r="F15" s="52" t="s">
        <v>27</v>
      </c>
      <c r="G15" s="52">
        <v>0</v>
      </c>
      <c r="H15" s="52" t="s">
        <v>28</v>
      </c>
      <c r="I15" s="52" t="s">
        <v>211</v>
      </c>
    </row>
    <row r="16" spans="1:9">
      <c r="A16" s="2"/>
      <c r="B16" s="51">
        <v>46249.870335648149</v>
      </c>
      <c r="C16" s="52" t="s">
        <v>36</v>
      </c>
      <c r="D16" s="52" t="s">
        <v>127</v>
      </c>
      <c r="E16" s="52" t="s">
        <v>26</v>
      </c>
      <c r="F16" s="52" t="s">
        <v>27</v>
      </c>
      <c r="G16" s="52">
        <v>0</v>
      </c>
      <c r="H16" s="52"/>
      <c r="I16" s="52" t="s">
        <v>222</v>
      </c>
    </row>
    <row r="17" spans="1:9">
      <c r="A17" s="2"/>
      <c r="B17" s="51">
        <v>46249.870347222219</v>
      </c>
      <c r="C17" s="52" t="s">
        <v>36</v>
      </c>
      <c r="D17" s="52" t="s">
        <v>127</v>
      </c>
      <c r="E17" s="52" t="s">
        <v>210</v>
      </c>
      <c r="F17" s="52" t="s">
        <v>27</v>
      </c>
      <c r="G17" s="52">
        <v>0</v>
      </c>
      <c r="H17" s="52" t="s">
        <v>28</v>
      </c>
      <c r="I17" s="52" t="s">
        <v>211</v>
      </c>
    </row>
    <row r="18" spans="1:9">
      <c r="A18" s="2"/>
      <c r="B18" s="51">
        <v>46249.870347222219</v>
      </c>
      <c r="C18" s="52" t="s">
        <v>35</v>
      </c>
      <c r="D18" s="52" t="s">
        <v>129</v>
      </c>
      <c r="E18" s="52" t="s">
        <v>26</v>
      </c>
      <c r="F18" s="52" t="s">
        <v>27</v>
      </c>
      <c r="G18" s="52">
        <v>0</v>
      </c>
      <c r="H18" s="52"/>
      <c r="I18" s="52" t="s">
        <v>222</v>
      </c>
    </row>
    <row r="19" spans="1:9">
      <c r="A19" s="2"/>
      <c r="B19" s="51">
        <v>46249.870358796295</v>
      </c>
      <c r="C19" s="52" t="s">
        <v>35</v>
      </c>
      <c r="D19" s="52" t="s">
        <v>129</v>
      </c>
      <c r="E19" s="52" t="s">
        <v>210</v>
      </c>
      <c r="F19" s="52" t="s">
        <v>27</v>
      </c>
      <c r="G19" s="52">
        <v>0</v>
      </c>
      <c r="H19" s="52" t="s">
        <v>28</v>
      </c>
      <c r="I19" s="52" t="s">
        <v>211</v>
      </c>
    </row>
    <row r="20" spans="1:9">
      <c r="A20" s="2"/>
      <c r="B20" s="51">
        <v>46249.870358796295</v>
      </c>
      <c r="C20" s="52" t="s">
        <v>31</v>
      </c>
      <c r="D20" s="52" t="s">
        <v>131</v>
      </c>
      <c r="E20" s="52" t="s">
        <v>26</v>
      </c>
      <c r="F20" s="52" t="s">
        <v>32</v>
      </c>
      <c r="G20" s="52">
        <v>0</v>
      </c>
      <c r="H20" s="52"/>
      <c r="I20" s="52" t="s">
        <v>34</v>
      </c>
    </row>
    <row r="21" spans="1:9">
      <c r="A21" s="2"/>
      <c r="B21" s="51">
        <v>46249.870358796295</v>
      </c>
      <c r="C21" s="52" t="s">
        <v>31</v>
      </c>
      <c r="D21" s="52" t="s">
        <v>131</v>
      </c>
      <c r="E21" s="52" t="s">
        <v>210</v>
      </c>
      <c r="F21" s="52" t="s">
        <v>27</v>
      </c>
      <c r="G21" s="52">
        <v>0</v>
      </c>
      <c r="H21" s="52" t="s">
        <v>33</v>
      </c>
      <c r="I21" s="52" t="s">
        <v>211</v>
      </c>
    </row>
    <row r="22" spans="1:9">
      <c r="A22" s="2"/>
      <c r="B22" s="51">
        <v>46249.870358796295</v>
      </c>
      <c r="C22" s="52" t="s">
        <v>133</v>
      </c>
      <c r="D22" s="52" t="s">
        <v>134</v>
      </c>
      <c r="E22" s="52" t="s">
        <v>26</v>
      </c>
      <c r="F22" s="52" t="s">
        <v>27</v>
      </c>
      <c r="G22" s="52">
        <v>0</v>
      </c>
      <c r="H22" s="52"/>
      <c r="I22" s="52" t="s">
        <v>222</v>
      </c>
    </row>
    <row r="23" spans="1:9">
      <c r="A23" s="2"/>
      <c r="B23" s="51">
        <v>46249.870370370372</v>
      </c>
      <c r="C23" s="52" t="s">
        <v>133</v>
      </c>
      <c r="D23" s="52" t="s">
        <v>134</v>
      </c>
      <c r="E23" s="52" t="s">
        <v>210</v>
      </c>
      <c r="F23" s="52" t="s">
        <v>27</v>
      </c>
      <c r="G23" s="52">
        <v>0</v>
      </c>
      <c r="H23" s="52" t="s">
        <v>28</v>
      </c>
      <c r="I23" s="52" t="s">
        <v>211</v>
      </c>
    </row>
    <row r="24" spans="1:9">
      <c r="A24" s="2"/>
      <c r="B24" s="51">
        <v>46249.870370370372</v>
      </c>
      <c r="C24" s="52"/>
      <c r="D24" s="52"/>
      <c r="E24" s="52" t="s">
        <v>212</v>
      </c>
      <c r="F24" s="52" t="s">
        <v>32</v>
      </c>
      <c r="G24" s="52">
        <v>4.4000000000000004</v>
      </c>
      <c r="H24" s="52"/>
      <c r="I24" s="52" t="s">
        <v>213</v>
      </c>
    </row>
    <row r="25" spans="1:9">
      <c r="A25" s="2"/>
      <c r="B25" s="40"/>
      <c r="C25" s="2"/>
      <c r="D25" s="2"/>
      <c r="E25" s="2"/>
      <c r="F25" s="2"/>
      <c r="G25" s="41"/>
      <c r="H25" s="2"/>
      <c r="I25" s="2"/>
    </row>
    <row r="26" spans="1:9">
      <c r="A26" s="2"/>
      <c r="B26" s="40"/>
      <c r="C26" s="2"/>
      <c r="D26" s="2"/>
      <c r="E26" s="2"/>
      <c r="F26" s="2"/>
      <c r="G26" s="41"/>
      <c r="H26" s="2"/>
      <c r="I26" s="2"/>
    </row>
    <row r="27" spans="1:9">
      <c r="A27" s="2"/>
      <c r="B27" s="161" t="s">
        <v>188</v>
      </c>
      <c r="C27" s="162"/>
      <c r="D27" s="162"/>
      <c r="E27" s="162"/>
      <c r="F27" s="162"/>
      <c r="G27" s="163"/>
      <c r="H27" s="162"/>
      <c r="I27" s="164"/>
    </row>
    <row r="28" spans="1:9">
      <c r="A28" s="2"/>
      <c r="B28" s="165"/>
      <c r="C28" s="166"/>
      <c r="D28" s="166"/>
      <c r="E28" s="166"/>
      <c r="F28" s="166"/>
      <c r="G28" s="167"/>
      <c r="H28" s="166"/>
      <c r="I28" s="168"/>
    </row>
    <row r="29" spans="1:9">
      <c r="A29" s="2"/>
      <c r="B29" s="165"/>
      <c r="C29" s="166"/>
      <c r="D29" s="166"/>
      <c r="E29" s="166"/>
      <c r="F29" s="166"/>
      <c r="G29" s="167"/>
      <c r="H29" s="166"/>
      <c r="I29" s="168"/>
    </row>
    <row r="30" spans="1:9">
      <c r="A30" s="2"/>
      <c r="B30" s="169"/>
      <c r="C30" s="170"/>
      <c r="D30" s="170"/>
      <c r="E30" s="170"/>
      <c r="F30" s="170"/>
      <c r="G30" s="171"/>
      <c r="H30" s="170"/>
      <c r="I30" s="172"/>
    </row>
    <row r="31" spans="1:9">
      <c r="A31" s="2"/>
      <c r="B31" s="40"/>
      <c r="C31" s="2"/>
      <c r="D31" s="2"/>
      <c r="E31" s="2"/>
      <c r="F31" s="2"/>
      <c r="G31" s="41"/>
      <c r="H31" s="2"/>
      <c r="I31" s="2"/>
    </row>
    <row r="32" spans="1:9">
      <c r="A32" s="2"/>
      <c r="B32" s="40"/>
      <c r="C32" s="2"/>
      <c r="D32" s="2"/>
      <c r="E32" s="2"/>
      <c r="F32" s="2"/>
      <c r="G32" s="41"/>
      <c r="H32" s="2"/>
      <c r="I32" s="2"/>
    </row>
    <row r="33" spans="1:9">
      <c r="A33" s="2"/>
      <c r="B33" s="40"/>
      <c r="C33" s="2"/>
      <c r="D33" s="2"/>
      <c r="E33" s="2"/>
      <c r="F33" s="2"/>
      <c r="G33" s="41"/>
      <c r="H33" s="2"/>
      <c r="I33" s="2"/>
    </row>
    <row r="34" spans="1:9">
      <c r="A34" s="2"/>
      <c r="B34" s="40"/>
      <c r="C34" s="2"/>
      <c r="D34" s="2"/>
      <c r="E34" s="2"/>
      <c r="F34" s="2"/>
      <c r="G34" s="41"/>
      <c r="H34" s="2"/>
      <c r="I34" s="2"/>
    </row>
    <row r="35" spans="1:9">
      <c r="A35" s="2"/>
      <c r="B35" s="40"/>
      <c r="C35" s="2"/>
      <c r="D35" s="2"/>
      <c r="E35" s="2"/>
      <c r="F35" s="2"/>
      <c r="G35" s="41"/>
      <c r="H35" s="2"/>
      <c r="I35" s="2"/>
    </row>
    <row r="36" spans="1:9">
      <c r="A36" s="2"/>
      <c r="B36" s="40"/>
      <c r="C36" s="2"/>
      <c r="D36" s="2"/>
      <c r="E36" s="2"/>
      <c r="F36" s="2"/>
      <c r="G36" s="41"/>
      <c r="H36" s="2"/>
      <c r="I36" s="2"/>
    </row>
    <row r="37" spans="1:9" ht="15">
      <c r="A37" s="42"/>
      <c r="B37" s="40"/>
      <c r="C37" s="2"/>
      <c r="D37" s="2"/>
      <c r="E37" s="2"/>
      <c r="F37" s="2"/>
      <c r="G37" s="41"/>
      <c r="H37" s="2"/>
      <c r="I37" s="2"/>
    </row>
    <row r="38" spans="1:9" ht="15">
      <c r="A38" s="42"/>
      <c r="B38" s="40"/>
      <c r="C38" s="2"/>
      <c r="D38" s="2"/>
      <c r="E38" s="2"/>
      <c r="F38" s="2"/>
      <c r="G38" s="41"/>
      <c r="H38" s="2"/>
      <c r="I38" s="2"/>
    </row>
    <row r="39" spans="1:9" ht="15">
      <c r="A39" s="42"/>
      <c r="B39" s="40"/>
      <c r="C39" s="2"/>
      <c r="D39" s="2"/>
      <c r="E39" s="2"/>
      <c r="F39" s="2"/>
      <c r="G39" s="41"/>
      <c r="H39" s="2"/>
      <c r="I39" s="2"/>
    </row>
    <row r="40" spans="1:9" ht="15">
      <c r="A40" s="42"/>
      <c r="B40" s="40"/>
      <c r="C40" s="2"/>
      <c r="D40" s="2"/>
      <c r="E40" s="2"/>
      <c r="F40" s="2"/>
      <c r="G40" s="41"/>
      <c r="H40" s="2"/>
      <c r="I40" s="2"/>
    </row>
    <row r="41" spans="1:9" ht="15">
      <c r="A41" s="42"/>
      <c r="B41" s="40"/>
      <c r="C41" s="2"/>
      <c r="D41" s="2"/>
      <c r="E41" s="2"/>
      <c r="F41" s="2"/>
      <c r="G41" s="41"/>
      <c r="H41" s="2"/>
      <c r="I41" s="2"/>
    </row>
    <row r="42" spans="1:9" ht="15">
      <c r="A42" s="42"/>
      <c r="B42" s="40"/>
      <c r="C42" s="2"/>
      <c r="D42" s="2"/>
      <c r="E42" s="2"/>
      <c r="F42" s="2"/>
      <c r="G42" s="41"/>
      <c r="H42" s="2"/>
      <c r="I42" s="2"/>
    </row>
    <row r="43" spans="1:9" ht="15">
      <c r="A43" s="42"/>
      <c r="B43" s="40"/>
      <c r="C43" s="2"/>
      <c r="D43" s="2"/>
      <c r="E43" s="2"/>
      <c r="F43" s="2"/>
      <c r="G43" s="41"/>
      <c r="H43" s="2"/>
      <c r="I43" s="2"/>
    </row>
    <row r="44" spans="1:9" ht="15">
      <c r="A44" s="42"/>
      <c r="B44" s="40"/>
      <c r="C44" s="2"/>
      <c r="D44" s="2"/>
      <c r="E44" s="2"/>
      <c r="F44" s="2"/>
      <c r="G44" s="41"/>
      <c r="H44" s="2"/>
      <c r="I44" s="2"/>
    </row>
    <row r="45" spans="1:9" ht="15">
      <c r="A45" s="42"/>
      <c r="B45" s="40"/>
      <c r="C45" s="2"/>
      <c r="D45" s="2"/>
      <c r="E45" s="2"/>
      <c r="F45" s="2"/>
      <c r="G45" s="41"/>
      <c r="H45" s="2"/>
      <c r="I45" s="2"/>
    </row>
    <row r="46" spans="1:9" ht="15">
      <c r="A46" s="42"/>
      <c r="B46" s="40"/>
      <c r="C46" s="2"/>
      <c r="D46" s="2"/>
      <c r="E46" s="2"/>
      <c r="F46" s="2"/>
      <c r="G46" s="41"/>
      <c r="H46" s="2"/>
      <c r="I46" s="2"/>
    </row>
  </sheetData>
  <mergeCells count="6">
    <mergeCell ref="B27:I30"/>
    <mergeCell ref="E2:F2"/>
    <mergeCell ref="E3:F5"/>
    <mergeCell ref="G2:H2"/>
    <mergeCell ref="G3:H5"/>
    <mergeCell ref="I3:I5"/>
  </mergeCells>
  <conditionalFormatting sqref="F10:F24">
    <cfRule type="expression" dxfId="27" priority="1" stopIfTrue="1">
      <formula>$F10="Success"</formula>
    </cfRule>
    <cfRule type="expression" dxfId="26" priority="2" stopIfTrue="1">
      <formula>$F10="Warning"</formula>
    </cfRule>
    <cfRule type="expression" dxfId="25" priority="3" stopIfTrue="1">
      <formula>$F10="Failed"</formula>
    </cfRule>
    <cfRule type="expression" dxfId="24" priority="4" stopIfTrue="1">
      <formula>$F10="Running"</formula>
    </cfRule>
    <cfRule type="expression" dxfId="23" priority="5" stopIfTrue="1">
      <formula>$F10="Ready"</formula>
    </cfRule>
    <cfRule type="expression" dxfId="22" priority="6" stopIfTrue="1">
      <formula>$F10="Not Run"</formula>
    </cfRule>
  </conditionalFormatting>
  <pageMargins left="0.7" right="0.7" top="0.75" bottom="0.75" header="0.3" footer="0.3"/>
  <pageSetup paperSize="9" scale="73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F9D55"/>
    <pageSetUpPr fitToPage="1"/>
  </sheetPr>
  <dimension ref="A1:S43"/>
  <sheetViews>
    <sheetView showGridLines="0" showRowColHeaders="0" zoomScale="115" zoomScaleNormal="115" workbookViewId="0">
      <selection activeCell="B31" sqref="B31:N32"/>
    </sheetView>
  </sheetViews>
  <sheetFormatPr defaultRowHeight="14.25"/>
  <cols>
    <col min="1" max="1" width="2.5" customWidth="1"/>
    <col min="2" max="2" width="12" customWidth="1"/>
    <col min="3" max="3" width="22" customWidth="1"/>
    <col min="4" max="7" width="13" customWidth="1"/>
    <col min="8" max="8" width="3" customWidth="1"/>
    <col min="9" max="14" width="11" customWidth="1"/>
    <col min="15" max="15" width="2.5" customWidth="1"/>
    <col min="17" max="22" width="0" hidden="1" customWidth="1"/>
  </cols>
  <sheetData>
    <row r="1" spans="1:19" ht="8.1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9">
      <c r="A2" s="2"/>
      <c r="B2" s="129" t="s">
        <v>235</v>
      </c>
      <c r="C2" s="129"/>
      <c r="D2" s="129"/>
      <c r="E2" s="129"/>
      <c r="F2" s="129"/>
      <c r="G2" s="129"/>
      <c r="H2" s="129"/>
      <c r="I2" s="129"/>
      <c r="J2" s="129"/>
      <c r="K2" s="93" t="s">
        <v>189</v>
      </c>
      <c r="L2" s="94"/>
      <c r="M2" s="94"/>
      <c r="N2" s="94"/>
      <c r="O2" s="95"/>
    </row>
    <row r="3" spans="1:19">
      <c r="A3" s="2"/>
      <c r="B3" s="129"/>
      <c r="C3" s="129"/>
      <c r="D3" s="129"/>
      <c r="E3" s="129"/>
      <c r="F3" s="129"/>
      <c r="G3" s="129"/>
      <c r="H3" s="129"/>
      <c r="I3" s="129"/>
      <c r="J3" s="129"/>
      <c r="K3" s="177" t="s">
        <v>135</v>
      </c>
      <c r="L3" s="178"/>
      <c r="M3" s="178"/>
      <c r="N3" s="178"/>
      <c r="O3" s="179"/>
      <c r="R3" s="49">
        <f t="shared" ref="R3:S6" si="0">D16</f>
        <v>3450000</v>
      </c>
      <c r="S3" s="49">
        <f t="shared" si="0"/>
        <v>3280000</v>
      </c>
    </row>
    <row r="4" spans="1:19">
      <c r="A4" s="2"/>
      <c r="B4" s="131" t="s">
        <v>232</v>
      </c>
      <c r="C4" s="131"/>
      <c r="D4" s="131"/>
      <c r="E4" s="131"/>
      <c r="F4" s="131"/>
      <c r="G4" s="131"/>
      <c r="H4" s="131"/>
      <c r="I4" s="131"/>
      <c r="J4" s="131"/>
      <c r="K4" s="180"/>
      <c r="L4" s="181"/>
      <c r="M4" s="181"/>
      <c r="N4" s="181"/>
      <c r="O4" s="182"/>
      <c r="R4" s="49">
        <f t="shared" si="0"/>
        <v>4110000</v>
      </c>
      <c r="S4" s="49">
        <f t="shared" si="0"/>
        <v>3950000</v>
      </c>
    </row>
    <row r="5" spans="1:19">
      <c r="A5" s="2"/>
      <c r="B5" s="131"/>
      <c r="C5" s="131"/>
      <c r="D5" s="131"/>
      <c r="E5" s="131"/>
      <c r="F5" s="131"/>
      <c r="G5" s="131"/>
      <c r="H5" s="131"/>
      <c r="I5" s="131"/>
      <c r="J5" s="131"/>
      <c r="K5" s="183"/>
      <c r="L5" s="184"/>
      <c r="M5" s="184"/>
      <c r="N5" s="184"/>
      <c r="O5" s="185"/>
      <c r="R5" s="49">
        <f t="shared" si="0"/>
        <v>2940000</v>
      </c>
      <c r="S5" s="49">
        <f t="shared" si="0"/>
        <v>2810000</v>
      </c>
    </row>
    <row r="6" spans="1:19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R6" s="49">
        <f t="shared" si="0"/>
        <v>2345000</v>
      </c>
      <c r="S6" s="49">
        <f t="shared" si="0"/>
        <v>2150000</v>
      </c>
    </row>
    <row r="7" spans="1:19" ht="3.95" customHeight="1">
      <c r="A7" s="2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9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9">
      <c r="A9" s="2"/>
      <c r="B9" s="189" t="s">
        <v>233</v>
      </c>
      <c r="C9" s="189"/>
      <c r="D9" s="189"/>
      <c r="E9" s="189"/>
      <c r="F9" s="189" t="s">
        <v>234</v>
      </c>
      <c r="G9" s="189"/>
      <c r="H9" s="189"/>
      <c r="I9" s="189" t="s">
        <v>190</v>
      </c>
      <c r="J9" s="189"/>
      <c r="K9" s="189"/>
      <c r="L9" s="189"/>
      <c r="M9" s="189" t="s">
        <v>191</v>
      </c>
      <c r="N9" s="189"/>
      <c r="O9" s="189"/>
    </row>
    <row r="10" spans="1:19">
      <c r="A10" s="2"/>
      <c r="B10" s="189"/>
      <c r="C10" s="189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R10" s="49">
        <f t="shared" ref="R10:S13" si="1">-D20</f>
        <v>2210000</v>
      </c>
      <c r="S10" s="49">
        <f t="shared" si="1"/>
        <v>2140000</v>
      </c>
    </row>
    <row r="11" spans="1:19" ht="14.25" customHeight="1">
      <c r="A11" s="2"/>
      <c r="B11" s="190">
        <f ca="1">SUMIFS(tblPerformanceReport[Actual],tblPerformanceReport[Account Group],"Revenue")</f>
        <v>12845000</v>
      </c>
      <c r="C11" s="190"/>
      <c r="D11" s="190"/>
      <c r="E11" s="190"/>
      <c r="F11" s="191">
        <f ca="1">SUMIFS(tblPerformanceReport[Budget],tblPerformanceReport[Account Group],"Revenue")</f>
        <v>12190000</v>
      </c>
      <c r="G11" s="191"/>
      <c r="H11" s="191"/>
      <c r="I11" s="192">
        <f ca="1">B11-F11</f>
        <v>655000</v>
      </c>
      <c r="J11" s="192"/>
      <c r="K11" s="192"/>
      <c r="L11" s="192"/>
      <c r="M11" s="193">
        <f ca="1">IFERROR(I11/F11,0)</f>
        <v>5.3732567678424936E-2</v>
      </c>
      <c r="N11" s="193"/>
      <c r="O11" s="193"/>
      <c r="R11" s="49">
        <f t="shared" si="1"/>
        <v>2680000</v>
      </c>
      <c r="S11" s="49">
        <f t="shared" si="1"/>
        <v>2590000</v>
      </c>
    </row>
    <row r="12" spans="1:19" ht="14.25" customHeight="1">
      <c r="A12" s="2"/>
      <c r="B12" s="190"/>
      <c r="C12" s="190"/>
      <c r="D12" s="190"/>
      <c r="E12" s="190"/>
      <c r="F12" s="191"/>
      <c r="G12" s="191"/>
      <c r="H12" s="191"/>
      <c r="I12" s="192"/>
      <c r="J12" s="192"/>
      <c r="K12" s="192"/>
      <c r="L12" s="192"/>
      <c r="M12" s="193"/>
      <c r="N12" s="193"/>
      <c r="O12" s="193"/>
      <c r="R12" s="49">
        <f t="shared" si="1"/>
        <v>1980000</v>
      </c>
      <c r="S12" s="49">
        <f t="shared" si="1"/>
        <v>1910000</v>
      </c>
    </row>
    <row r="13" spans="1:19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R13" s="49">
        <f t="shared" si="1"/>
        <v>1520000</v>
      </c>
      <c r="S13" s="49">
        <f t="shared" si="1"/>
        <v>1460000</v>
      </c>
    </row>
    <row r="14" spans="1:19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9" ht="24" customHeight="1">
      <c r="A15" s="2"/>
      <c r="B15" s="35" t="s">
        <v>192</v>
      </c>
      <c r="C15" s="35" t="s">
        <v>193</v>
      </c>
      <c r="D15" s="35" t="s">
        <v>194</v>
      </c>
      <c r="E15" s="35" t="s">
        <v>195</v>
      </c>
      <c r="F15" s="35" t="s">
        <v>196</v>
      </c>
      <c r="G15" s="35" t="s">
        <v>197</v>
      </c>
      <c r="H15" s="2"/>
      <c r="I15" s="2"/>
      <c r="J15" s="2"/>
      <c r="K15" s="2"/>
      <c r="L15" s="2"/>
      <c r="M15" s="2"/>
      <c r="N15" s="2"/>
      <c r="O15" s="2"/>
    </row>
    <row r="16" spans="1:19" ht="24" customHeight="1">
      <c r="A16" s="2"/>
      <c r="B16" s="37" t="s">
        <v>198</v>
      </c>
      <c r="C16" s="37" t="s">
        <v>199</v>
      </c>
      <c r="D16" s="45">
        <v>3450000</v>
      </c>
      <c r="E16" s="45">
        <v>3280000</v>
      </c>
      <c r="F16" s="45">
        <v>170000</v>
      </c>
      <c r="G16" s="46">
        <v>5.1799999999999999E-2</v>
      </c>
      <c r="H16" s="2"/>
      <c r="I16" s="2"/>
      <c r="J16" s="2"/>
      <c r="K16" s="2"/>
      <c r="L16" s="2"/>
      <c r="M16" s="2"/>
      <c r="N16" s="2"/>
      <c r="O16" s="2"/>
    </row>
    <row r="17" spans="1:19" ht="24" customHeight="1">
      <c r="A17" s="2"/>
      <c r="B17" s="39" t="s">
        <v>200</v>
      </c>
      <c r="C17" s="39" t="s">
        <v>199</v>
      </c>
      <c r="D17" s="47">
        <v>4110000</v>
      </c>
      <c r="E17" s="47">
        <v>3950000</v>
      </c>
      <c r="F17" s="47">
        <v>160000</v>
      </c>
      <c r="G17" s="48">
        <v>4.0500000000000001E-2</v>
      </c>
      <c r="H17" s="2"/>
      <c r="I17" s="2"/>
      <c r="J17" s="2"/>
      <c r="K17" s="2"/>
      <c r="L17" s="2"/>
      <c r="M17" s="2"/>
      <c r="N17" s="2"/>
      <c r="O17" s="2"/>
      <c r="R17" s="50">
        <f>G16</f>
        <v>5.1799999999999999E-2</v>
      </c>
      <c r="S17" s="50">
        <f>G20</f>
        <v>-3.27E-2</v>
      </c>
    </row>
    <row r="18" spans="1:19" ht="24" customHeight="1">
      <c r="A18" s="2"/>
      <c r="B18" s="37" t="s">
        <v>201</v>
      </c>
      <c r="C18" s="37" t="s">
        <v>199</v>
      </c>
      <c r="D18" s="45">
        <v>2940000</v>
      </c>
      <c r="E18" s="45">
        <v>2810000</v>
      </c>
      <c r="F18" s="45">
        <v>130000</v>
      </c>
      <c r="G18" s="46">
        <v>4.6300000000000001E-2</v>
      </c>
      <c r="H18" s="2"/>
      <c r="I18" s="2"/>
      <c r="J18" s="2"/>
      <c r="K18" s="2"/>
      <c r="L18" s="2"/>
      <c r="M18" s="2"/>
      <c r="N18" s="2"/>
      <c r="O18" s="2"/>
      <c r="R18" s="50">
        <f>G17</f>
        <v>4.0500000000000001E-2</v>
      </c>
      <c r="S18" s="50">
        <f>G21</f>
        <v>-3.4700000000000002E-2</v>
      </c>
    </row>
    <row r="19" spans="1:19" ht="24" customHeight="1">
      <c r="A19" s="2"/>
      <c r="B19" s="39" t="s">
        <v>202</v>
      </c>
      <c r="C19" s="39" t="s">
        <v>199</v>
      </c>
      <c r="D19" s="47">
        <v>2345000</v>
      </c>
      <c r="E19" s="47">
        <v>2150000</v>
      </c>
      <c r="F19" s="47">
        <v>195000</v>
      </c>
      <c r="G19" s="48">
        <v>9.0700000000000003E-2</v>
      </c>
      <c r="H19" s="2"/>
      <c r="I19" s="2"/>
      <c r="J19" s="2"/>
      <c r="K19" s="2"/>
      <c r="L19" s="2"/>
      <c r="M19" s="2"/>
      <c r="N19" s="2"/>
      <c r="O19" s="2"/>
      <c r="R19" s="50">
        <f>G18</f>
        <v>4.6300000000000001E-2</v>
      </c>
      <c r="S19" s="50">
        <f>G22</f>
        <v>-3.6600000000000001E-2</v>
      </c>
    </row>
    <row r="20" spans="1:19" ht="24" customHeight="1">
      <c r="A20" s="2"/>
      <c r="B20" s="37" t="s">
        <v>198</v>
      </c>
      <c r="C20" s="37" t="s">
        <v>203</v>
      </c>
      <c r="D20" s="45">
        <v>-2210000</v>
      </c>
      <c r="E20" s="45">
        <v>-2140000</v>
      </c>
      <c r="F20" s="45">
        <v>-70000</v>
      </c>
      <c r="G20" s="46">
        <v>-3.27E-2</v>
      </c>
      <c r="H20" s="2"/>
      <c r="I20" s="2"/>
      <c r="J20" s="2"/>
      <c r="K20" s="2"/>
      <c r="L20" s="2"/>
      <c r="M20" s="2"/>
      <c r="N20" s="2"/>
      <c r="O20" s="2"/>
      <c r="R20" s="50">
        <f>G19</f>
        <v>9.0700000000000003E-2</v>
      </c>
      <c r="S20" s="50">
        <f>G23</f>
        <v>-4.1099999999999998E-2</v>
      </c>
    </row>
    <row r="21" spans="1:19" ht="24" customHeight="1">
      <c r="A21" s="2"/>
      <c r="B21" s="39" t="s">
        <v>200</v>
      </c>
      <c r="C21" s="39" t="s">
        <v>203</v>
      </c>
      <c r="D21" s="47">
        <v>-2680000</v>
      </c>
      <c r="E21" s="47">
        <v>-2590000</v>
      </c>
      <c r="F21" s="47">
        <v>-90000</v>
      </c>
      <c r="G21" s="48">
        <v>-3.4700000000000002E-2</v>
      </c>
      <c r="H21" s="2"/>
      <c r="I21" s="2"/>
      <c r="J21" s="2"/>
      <c r="K21" s="2"/>
      <c r="L21" s="2"/>
      <c r="M21" s="2"/>
      <c r="N21" s="2"/>
      <c r="O21" s="2"/>
    </row>
    <row r="22" spans="1:19" ht="24" customHeight="1">
      <c r="A22" s="2"/>
      <c r="B22" s="37" t="s">
        <v>201</v>
      </c>
      <c r="C22" s="37" t="s">
        <v>203</v>
      </c>
      <c r="D22" s="45">
        <v>-1980000</v>
      </c>
      <c r="E22" s="45">
        <v>-1910000</v>
      </c>
      <c r="F22" s="45">
        <v>-70000</v>
      </c>
      <c r="G22" s="46">
        <v>-3.6600000000000001E-2</v>
      </c>
      <c r="H22" s="2"/>
      <c r="I22" s="2"/>
      <c r="J22" s="2"/>
      <c r="K22" s="2"/>
      <c r="L22" s="2"/>
      <c r="M22" s="2"/>
      <c r="N22" s="2"/>
      <c r="O22" s="2"/>
    </row>
    <row r="23" spans="1:19" ht="24" customHeight="1">
      <c r="A23" s="2"/>
      <c r="B23" s="39" t="s">
        <v>202</v>
      </c>
      <c r="C23" s="39" t="s">
        <v>203</v>
      </c>
      <c r="D23" s="47">
        <v>-1520000</v>
      </c>
      <c r="E23" s="47">
        <v>-1460000</v>
      </c>
      <c r="F23" s="47">
        <v>-60000</v>
      </c>
      <c r="G23" s="48">
        <v>-4.1099999999999998E-2</v>
      </c>
      <c r="H23" s="2"/>
      <c r="I23" s="2"/>
      <c r="J23" s="2"/>
      <c r="K23" s="2"/>
      <c r="L23" s="2"/>
      <c r="M23" s="2"/>
      <c r="N23" s="2"/>
      <c r="O23" s="2"/>
    </row>
    <row r="24" spans="1:19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9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79"/>
    </row>
    <row r="26" spans="1:19">
      <c r="A26" s="2"/>
      <c r="B26" s="187"/>
      <c r="C26" s="187"/>
      <c r="D26" s="187"/>
      <c r="E26" s="187"/>
      <c r="F26" s="187"/>
      <c r="G26" s="187"/>
      <c r="H26" s="2"/>
      <c r="I26" s="2"/>
      <c r="J26" s="2"/>
      <c r="K26" s="2"/>
      <c r="L26" s="2"/>
      <c r="M26" s="2"/>
      <c r="N26" s="2"/>
      <c r="O26" s="2"/>
      <c r="P26" s="79"/>
    </row>
    <row r="27" spans="1:19">
      <c r="A27" s="2"/>
      <c r="B27" s="187"/>
      <c r="C27" s="187"/>
      <c r="D27" s="187"/>
      <c r="E27" s="187"/>
      <c r="F27" s="187"/>
      <c r="G27" s="187"/>
      <c r="H27" s="2"/>
      <c r="I27" s="2"/>
      <c r="J27" s="2"/>
      <c r="K27" s="2"/>
      <c r="L27" s="2"/>
      <c r="M27" s="2"/>
      <c r="N27" s="2"/>
      <c r="O27" s="2"/>
      <c r="P27" s="79"/>
    </row>
    <row r="28" spans="1:19">
      <c r="A28" s="2"/>
      <c r="B28" s="187"/>
      <c r="C28" s="187"/>
      <c r="D28" s="187"/>
      <c r="E28" s="187"/>
      <c r="F28" s="187"/>
      <c r="G28" s="187"/>
      <c r="H28" s="2"/>
      <c r="I28" s="2"/>
      <c r="J28" s="2"/>
      <c r="K28" s="2"/>
      <c r="L28" s="2"/>
      <c r="M28" s="2"/>
      <c r="N28" s="2"/>
      <c r="O28" s="2"/>
      <c r="P28" s="79"/>
    </row>
    <row r="29" spans="1:19">
      <c r="A29" s="2"/>
      <c r="B29" s="187"/>
      <c r="C29" s="187"/>
      <c r="D29" s="187"/>
      <c r="E29" s="187"/>
      <c r="F29" s="187"/>
      <c r="G29" s="187"/>
      <c r="H29" s="2"/>
      <c r="I29" s="2"/>
      <c r="J29" s="2"/>
      <c r="K29" s="2"/>
      <c r="L29" s="2"/>
      <c r="M29" s="2"/>
      <c r="N29" s="2"/>
      <c r="O29" s="2"/>
      <c r="P29" s="79"/>
    </row>
    <row r="30" spans="1:1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79"/>
    </row>
    <row r="31" spans="1:19">
      <c r="A31" s="2"/>
      <c r="B31" s="188"/>
      <c r="C31" s="188"/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2"/>
      <c r="P31" s="79"/>
    </row>
    <row r="32" spans="1:19">
      <c r="A32" s="2"/>
      <c r="B32" s="188"/>
      <c r="C32" s="188"/>
      <c r="D32" s="188"/>
      <c r="E32" s="188"/>
      <c r="F32" s="188"/>
      <c r="G32" s="188"/>
      <c r="H32" s="188"/>
      <c r="I32" s="188"/>
      <c r="J32" s="188"/>
      <c r="K32" s="188"/>
      <c r="L32" s="188"/>
      <c r="M32" s="188"/>
      <c r="N32" s="188"/>
      <c r="O32" s="2"/>
      <c r="P32" s="79"/>
    </row>
    <row r="33" spans="1:1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79"/>
    </row>
    <row r="34" spans="1:1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79"/>
    </row>
    <row r="35" spans="1:16" ht="15">
      <c r="A35" s="42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79"/>
    </row>
    <row r="36" spans="1:16" ht="15">
      <c r="A36" s="42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79"/>
    </row>
    <row r="37" spans="1:16" ht="15">
      <c r="A37" s="42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79"/>
    </row>
    <row r="38" spans="1:16" ht="15">
      <c r="A38" s="42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79"/>
    </row>
    <row r="39" spans="1:16" ht="15">
      <c r="A39" s="42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79"/>
    </row>
    <row r="40" spans="1:16" ht="15">
      <c r="A40" s="42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79"/>
    </row>
    <row r="41" spans="1:16" ht="1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</row>
    <row r="42" spans="1:16" ht="15">
      <c r="A42" s="42"/>
      <c r="B42" s="186" t="s">
        <v>254</v>
      </c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86"/>
    </row>
    <row r="43" spans="1:16" ht="15">
      <c r="A43" s="42"/>
      <c r="B43" s="186"/>
      <c r="C43" s="186"/>
      <c r="D43" s="186"/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86"/>
    </row>
  </sheetData>
  <mergeCells count="15">
    <mergeCell ref="B2:J3"/>
    <mergeCell ref="B4:J5"/>
    <mergeCell ref="K2:O2"/>
    <mergeCell ref="K3:O5"/>
    <mergeCell ref="B42:O43"/>
    <mergeCell ref="B26:G29"/>
    <mergeCell ref="B31:N32"/>
    <mergeCell ref="B9:E10"/>
    <mergeCell ref="B11:E12"/>
    <mergeCell ref="F9:H10"/>
    <mergeCell ref="F11:H12"/>
    <mergeCell ref="I9:L10"/>
    <mergeCell ref="I11:L12"/>
    <mergeCell ref="M9:O10"/>
    <mergeCell ref="M11:O12"/>
  </mergeCells>
  <conditionalFormatting sqref="G16:G23">
    <cfRule type="cellIs" dxfId="10" priority="1" stopIfTrue="1" operator="greaterThanOrEqual">
      <formula>0</formula>
    </cfRule>
    <cfRule type="cellIs" dxfId="9" priority="2" stopIfTrue="1" operator="lessThan">
      <formula>0</formula>
    </cfRule>
  </conditionalFormatting>
  <pageMargins left="0.7" right="0.7" top="0.75" bottom="0.75" header="0.3" footer="0.3"/>
  <pageSetup paperSize="9" scale="73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Summary</vt:lpstr>
      <vt:lpstr>AFO Code Library</vt:lpstr>
      <vt:lpstr>Configuration</vt:lpstr>
      <vt:lpstr>Run History</vt:lpstr>
      <vt:lpstr>Performance Report</vt:lpstr>
      <vt:lpstr>afo_password</vt:lpstr>
      <vt:lpstr>afo_username</vt:lpstr>
      <vt:lpstr>'AFO Code Library'!Print_Area</vt:lpstr>
      <vt:lpstr>Configuration!Print_Area</vt:lpstr>
      <vt:lpstr>'Performance Report'!Print_Area</vt:lpstr>
      <vt:lpstr>'Run History'!Print_Area</vt:lpstr>
      <vt:lpstr>Summary!Print_Area</vt:lpstr>
      <vt:lpstr>ReportIDs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Naadir Duglas</cp:lastModifiedBy>
  <cp:lastPrinted>2026-08-15T19:53:20Z</cp:lastPrinted>
  <dcterms:created xsi:type="dcterms:W3CDTF">2026-08-07T18:12:46Z</dcterms:created>
  <dcterms:modified xsi:type="dcterms:W3CDTF">2026-08-21T20:41:34Z</dcterms:modified>
</cp:coreProperties>
</file>