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io\Desktop\Desktop Folders\Excel Project\"/>
    </mc:Choice>
  </mc:AlternateContent>
  <xr:revisionPtr revIDLastSave="0" documentId="13_ncr:1_{0CD64DD2-A4FA-44E0-AF63-3F4814AF4BF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Control Center" sheetId="1" r:id="rId1"/>
    <sheet name="Config" sheetId="9" r:id="rId2"/>
    <sheet name="Report Inventory" sheetId="2" r:id="rId3"/>
    <sheet name="Parameters" sheetId="3" r:id="rId4"/>
    <sheet name="Prompt Mapping" sheetId="4" r:id="rId5"/>
    <sheet name="Run Log" sheetId="5" r:id="rId6"/>
    <sheet name="Export History" sheetId="6" r:id="rId7"/>
    <sheet name="Settings" sheetId="7" r:id="rId8"/>
    <sheet name="README" sheetId="8" r:id="rId9"/>
  </sheets>
  <definedNames>
    <definedName name="Run_Status">'Control Center'!$C$50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9" l="1"/>
  <c r="B6" i="9"/>
  <c r="B4" i="9"/>
  <c r="C4" i="9" s="1"/>
  <c r="O2" i="1"/>
  <c r="O3" i="1"/>
  <c r="O11" i="1"/>
  <c r="Q11" i="1"/>
  <c r="G11" i="1" s="1"/>
  <c r="M11" i="1"/>
  <c r="K11" i="1"/>
  <c r="I11" i="1"/>
  <c r="C6" i="9" l="1"/>
  <c r="D6" i="9" s="1"/>
  <c r="D4" i="9"/>
  <c r="W2" i="1" s="1"/>
  <c r="C8" i="9"/>
  <c r="D8" i="9" s="1"/>
</calcChain>
</file>

<file path=xl/sharedStrings.xml><?xml version="1.0" encoding="utf-8"?>
<sst xmlns="http://schemas.openxmlformats.org/spreadsheetml/2006/main" count="1479" uniqueCount="392">
  <si>
    <t>Mock Mode</t>
  </si>
  <si>
    <t>Refresh, parameterise, monitor and export enterprise AO reports from a single control center</t>
  </si>
  <si>
    <t>RUN CONTROLS</t>
  </si>
  <si>
    <t>EXECUTION SUMMARY (TODAY)</t>
  </si>
  <si>
    <t>RUN LOG (LATEST 25 ENTRIES)</t>
  </si>
  <si>
    <t>▤</t>
  </si>
  <si>
    <t>✓</t>
  </si>
  <si>
    <t>!</t>
  </si>
  <si>
    <t>△</t>
  </si>
  <si>
    <t>◷</t>
  </si>
  <si>
    <t>⇩</t>
  </si>
  <si>
    <t>Timestamp</t>
  </si>
  <si>
    <t>Level</t>
  </si>
  <si>
    <t>ReportID</t>
  </si>
  <si>
    <t>Message</t>
  </si>
  <si>
    <t>Refresh Selected
Run the selected report</t>
  </si>
  <si>
    <t>12</t>
  </si>
  <si>
    <t>8</t>
  </si>
  <si>
    <t>2</t>
  </si>
  <si>
    <t>1</t>
  </si>
  <si>
    <t>00:12:47</t>
  </si>
  <si>
    <t>18</t>
  </si>
  <si>
    <t>15-May-24 11:24:50</t>
  </si>
  <si>
    <t>INFO</t>
  </si>
  <si>
    <t>RPT001</t>
  </si>
  <si>
    <t>Starting refresh</t>
  </si>
  <si>
    <t>15-May-24 11:24:52</t>
  </si>
  <si>
    <t>Parameters applied</t>
  </si>
  <si>
    <t>Total Reports</t>
  </si>
  <si>
    <t>Successful</t>
  </si>
  <si>
    <t>Failed</t>
  </si>
  <si>
    <t>Warnings</t>
  </si>
  <si>
    <t>Total Duration</t>
  </si>
  <si>
    <t>Exports Created</t>
  </si>
  <si>
    <t>15-May-24 11:24:55</t>
  </si>
  <si>
    <t>Data source refreshed</t>
  </si>
  <si>
    <t>Run Full Batch
Run all active reports</t>
  </si>
  <si>
    <t>15-May-24 11:24:58</t>
  </si>
  <si>
    <t>Export to PDF completed</t>
  </si>
  <si>
    <t>15-May-24 11:24:59</t>
  </si>
  <si>
    <t>Export to XLSX completed</t>
  </si>
  <si>
    <t>15-May-24 11:25:01</t>
  </si>
  <si>
    <t>RPT002</t>
  </si>
  <si>
    <t>Validate Setup
Validate parameters &amp; setup</t>
  </si>
  <si>
    <t>#</t>
  </si>
  <si>
    <t>ReportName</t>
  </si>
  <si>
    <t>BusinessArea</t>
  </si>
  <si>
    <t>Variant</t>
  </si>
  <si>
    <t>IsActive</t>
  </si>
  <si>
    <t>RunOrder</t>
  </si>
  <si>
    <t>LastRefresh</t>
  </si>
  <si>
    <t>Status</t>
  </si>
  <si>
    <t>Duration (s)</t>
  </si>
  <si>
    <t>15-May-24 11:25:03</t>
  </si>
  <si>
    <t>Refresh completed</t>
  </si>
  <si>
    <t>P&amp;L Actual vs Budget</t>
  </si>
  <si>
    <t>Finance</t>
  </si>
  <si>
    <t>ACTUAL</t>
  </si>
  <si>
    <t>●</t>
  </si>
  <si>
    <t>15-May-2024 10:04</t>
  </si>
  <si>
    <t>Success</t>
  </si>
  <si>
    <t>15-May-24 11:25:04</t>
  </si>
  <si>
    <t>Balance Sheet</t>
  </si>
  <si>
    <t>YTD</t>
  </si>
  <si>
    <t>15-May-2024 10:06</t>
  </si>
  <si>
    <t>15-May-24 11:25:06</t>
  </si>
  <si>
    <t>RPT003</t>
  </si>
  <si>
    <t>Export Pack
Export selected reports</t>
  </si>
  <si>
    <t>Cash Flow Statement</t>
  </si>
  <si>
    <t>15-May-2024 10:08</t>
  </si>
  <si>
    <t>15-May-24 11:25:08</t>
  </si>
  <si>
    <t>RPT004</t>
  </si>
  <si>
    <t>Cost Center Summary</t>
  </si>
  <si>
    <t>Controlling</t>
  </si>
  <si>
    <t>ALL</t>
  </si>
  <si>
    <t>15-May-2024 10:10</t>
  </si>
  <si>
    <t>15-May-24 11:25:09</t>
  </si>
  <si>
    <t>WARN</t>
  </si>
  <si>
    <t>RPT006</t>
  </si>
  <si>
    <t>No data for some plants</t>
  </si>
  <si>
    <t>RPT005</t>
  </si>
  <si>
    <t>Profit Center Performance</t>
  </si>
  <si>
    <t>15-May-2024 10:12</t>
  </si>
  <si>
    <t>15-May-24 11:25:10</t>
  </si>
  <si>
    <t>ERROR</t>
  </si>
  <si>
    <t>Data source error</t>
  </si>
  <si>
    <t>Open Export Folder
Open output folder</t>
  </si>
  <si>
    <t>Plant Performance</t>
  </si>
  <si>
    <t>Operations</t>
  </si>
  <si>
    <t>15-May-2024 10:14</t>
  </si>
  <si>
    <t>Warning</t>
  </si>
  <si>
    <t>Refresh failed</t>
  </si>
  <si>
    <t>RPT007</t>
  </si>
  <si>
    <t>Top Customers</t>
  </si>
  <si>
    <t>Sales</t>
  </si>
  <si>
    <t>15-May-2024 10:16</t>
  </si>
  <si>
    <t>15-May-24 11:25:11</t>
  </si>
  <si>
    <t>RPT008</t>
  </si>
  <si>
    <t>Open Items</t>
  </si>
  <si>
    <t>15-May-2024 10:18</t>
  </si>
  <si>
    <t>15-May-24 11:25:14</t>
  </si>
  <si>
    <t>Reset Parameters
Reset to default values</t>
  </si>
  <si>
    <t>RPT009</t>
  </si>
  <si>
    <t>AR Aging</t>
  </si>
  <si>
    <t>□</t>
  </si>
  <si>
    <t>Not Run</t>
  </si>
  <si>
    <t>RPT010</t>
  </si>
  <si>
    <t>AP Aging</t>
  </si>
  <si>
    <t>RPT011</t>
  </si>
  <si>
    <t>Inventory Analysis</t>
  </si>
  <si>
    <t>Logistics</t>
  </si>
  <si>
    <t>🗑
Clear Log</t>
  </si>
  <si>
    <t>Clear Log
Clear run log entries</t>
  </si>
  <si>
    <t>RPT012</t>
  </si>
  <si>
    <t>Project Profitability</t>
  </si>
  <si>
    <t>Projects</t>
  </si>
  <si>
    <t>GLOBAL PARAMETERS</t>
  </si>
  <si>
    <t>Parameter</t>
  </si>
  <si>
    <t>Current Value</t>
  </si>
  <si>
    <t>Required</t>
  </si>
  <si>
    <t>OK</t>
  </si>
  <si>
    <t>AO PROMPT MAPPING (SELECTED REPORT: RPT001 - P&amp;L ACTUAL VS BUDGET)</t>
  </si>
  <si>
    <t>BATCH PROGRESS</t>
  </si>
  <si>
    <t>EXPORT HISTORY (LATEST 15)</t>
  </si>
  <si>
    <t>Company Code</t>
  </si>
  <si>
    <t>1000</t>
  </si>
  <si>
    <t>Yes</t>
  </si>
  <si>
    <t>Parameter Name</t>
  </si>
  <si>
    <t>AFO Variable Name</t>
  </si>
  <si>
    <t>Data Source Alias</t>
  </si>
  <si>
    <t>Format</t>
  </si>
  <si>
    <t>Status / Output Path</t>
  </si>
  <si>
    <t>Fiscal Year</t>
  </si>
  <si>
    <t>2024</t>
  </si>
  <si>
    <t>CompanyCode</t>
  </si>
  <si>
    <t>P_COMP_CODE</t>
  </si>
  <si>
    <t>DS_1</t>
  </si>
  <si>
    <t>Overall Progress</t>
  </si>
  <si>
    <t>15-May-24 11:24</t>
  </si>
  <si>
    <t>PDF</t>
  </si>
  <si>
    <t>Success  ...ance\RPT001_2024_005.pdf</t>
  </si>
  <si>
    <t>Fiscal Period</t>
  </si>
  <si>
    <t>005</t>
  </si>
  <si>
    <t>FiscalYear</t>
  </si>
  <si>
    <t>P_FISCYEAR</t>
  </si>
  <si>
    <t>XLSX</t>
  </si>
  <si>
    <t>Success  ...nce\RPT001_2024_005.xlsx</t>
  </si>
  <si>
    <t>Currency</t>
  </si>
  <si>
    <t>USD</t>
  </si>
  <si>
    <t>FiscalPeriod</t>
  </si>
  <si>
    <t>P_FISCPER</t>
  </si>
  <si>
    <t>Success  ...ance\RPT002_2024_005.pdf</t>
  </si>
  <si>
    <t>Cost Center</t>
  </si>
  <si>
    <t>No</t>
  </si>
  <si>
    <t>P_CURRENCY</t>
  </si>
  <si>
    <t>Success  ...nce\RPT002_2024_005.xlsx</t>
  </si>
  <si>
    <t>Plant</t>
  </si>
  <si>
    <t>CostCenter</t>
  </si>
  <si>
    <t>P_COSTCENTER</t>
  </si>
  <si>
    <t>Success  ...ance\RPT003_2024_005.pdf</t>
  </si>
  <si>
    <t>Profit Center</t>
  </si>
  <si>
    <t>P_PLANT</t>
  </si>
  <si>
    <t>Current Report</t>
  </si>
  <si>
    <t>RPT007 - Top Customers</t>
  </si>
  <si>
    <t>CSV</t>
  </si>
  <si>
    <t>Success  ...ance\RPT003_2024_005.csv</t>
  </si>
  <si>
    <t>Report Group</t>
  </si>
  <si>
    <t>ProfitCenter</t>
  </si>
  <si>
    <t>P_PROFITCTR</t>
  </si>
  <si>
    <t>15-May-24 11:25</t>
  </si>
  <si>
    <t>Failed  Data source error</t>
  </si>
  <si>
    <t>ReportGroup</t>
  </si>
  <si>
    <t>P_RPT_GROUP</t>
  </si>
  <si>
    <t>Success  ...ling\RPT005_2024_005.pdf</t>
  </si>
  <si>
    <t>Success  ...ing\RPT005_2024_005.xlsx</t>
  </si>
  <si>
    <t>Elapsed Time</t>
  </si>
  <si>
    <t>00:08:36</t>
  </si>
  <si>
    <t>Est. Remaining</t>
  </si>
  <si>
    <t>00:04:11</t>
  </si>
  <si>
    <t>Warning  ...ions\RPT006_2024_005.pdf</t>
  </si>
  <si>
    <t>Status:</t>
  </si>
  <si>
    <t>Batch in progress...</t>
  </si>
  <si>
    <t>Environment:</t>
  </si>
  <si>
    <t>MOCK MODE</t>
  </si>
  <si>
    <t>Current User</t>
  </si>
  <si>
    <t>Version:</t>
  </si>
  <si>
    <t>1.0.0</t>
  </si>
  <si>
    <t>Report Inventory</t>
  </si>
  <si>
    <t>Master list of SAP Analysis for Office reports managed by the orchestrator.</t>
  </si>
  <si>
    <t>WorkbookPath</t>
  </si>
  <si>
    <t>WorksheetName</t>
  </si>
  <si>
    <t>DataSourceAlias</t>
  </si>
  <si>
    <t>OutputFormats</t>
  </si>
  <si>
    <t>DurationSeconds</t>
  </si>
  <si>
    <t>LastError</t>
  </si>
  <si>
    <t>ExportFolder</t>
  </si>
  <si>
    <t>Count</t>
  </si>
  <si>
    <t>C:\SAP_AO\Reports\Finance\PL_Actual_vs_Budget.xlsx</t>
  </si>
  <si>
    <t>AO_PL</t>
  </si>
  <si>
    <t>PDF,XLSX</t>
  </si>
  <si>
    <t>C:\SAP_AO\Exports\Finance</t>
  </si>
  <si>
    <t>C:\SAP_AO\Reports\Finance\Balance_Sheet.xlsx</t>
  </si>
  <si>
    <t>AO_BS</t>
  </si>
  <si>
    <t>C:\SAP_AO\Reports\Finance\Cash_Flow.xlsx</t>
  </si>
  <si>
    <t>AO_CF</t>
  </si>
  <si>
    <t>PDF,CSV</t>
  </si>
  <si>
    <t>C:\SAP_AO\Reports\CO\Cost_Center.xlsx</t>
  </si>
  <si>
    <t>AO_CC</t>
  </si>
  <si>
    <t>C:\SAP_AO\Exports\Controlling</t>
  </si>
  <si>
    <t>C:\SAP_AO\Reports\CO\Profit_Center.xlsx</t>
  </si>
  <si>
    <t>AO_PC</t>
  </si>
  <si>
    <t>C:\SAP_AO\Reports\Ops\Plant_Performance.xlsx</t>
  </si>
  <si>
    <t>AO_PLANT</t>
  </si>
  <si>
    <t>C:\SAP_AO\Exports\Operations</t>
  </si>
  <si>
    <t>C:\SAP_AO\Reports\Sales\Top_Customers.xlsx</t>
  </si>
  <si>
    <t>AO_CUST</t>
  </si>
  <si>
    <t>C:\SAP_AO\Exports\Sales</t>
  </si>
  <si>
    <t>C:\SAP_AO\Reports\Finance\Open_Items.xlsx</t>
  </si>
  <si>
    <t>AO_OPEN</t>
  </si>
  <si>
    <t>C:\SAP_AO\Reports\Finance\AR_Aging.xlsx</t>
  </si>
  <si>
    <t>AO_AR</t>
  </si>
  <si>
    <t>C:\SAP_AO\Reports\Finance\AP_Aging.xlsx</t>
  </si>
  <si>
    <t>AO_AP</t>
  </si>
  <si>
    <t>C:\SAP_AO\Reports\Logistics\Inventory.xlsx</t>
  </si>
  <si>
    <t>AO_INV</t>
  </si>
  <si>
    <t>C:\SAP_AO\Exports\Logistics</t>
  </si>
  <si>
    <t>C:\SAP_AO\Reports\Projects\Project_Profitability.xlsx</t>
  </si>
  <si>
    <t>AO_PROJ</t>
  </si>
  <si>
    <t>C:\SAP_AO\Exports\Projects</t>
  </si>
  <si>
    <t>Parameters</t>
  </si>
  <si>
    <t>Global values applied to mapped AO prompts before report refresh.</t>
  </si>
  <si>
    <t>ParameterName</t>
  </si>
  <si>
    <t>DisplayName</t>
  </si>
  <si>
    <t>CurrentValue</t>
  </si>
  <si>
    <t>DefaultValue</t>
  </si>
  <si>
    <t>AllowedValues</t>
  </si>
  <si>
    <t>IsRequired</t>
  </si>
  <si>
    <t>Description</t>
  </si>
  <si>
    <t>1000,2000,3000</t>
  </si>
  <si>
    <t>SAP company code to apply to all AO data sources.</t>
  </si>
  <si>
    <t>2023,2024,2025</t>
  </si>
  <si>
    <t>Fiscal year used for reporting and export filenames.</t>
  </si>
  <si>
    <t>001,002,003,004,005,006,007,008,009,010,011,012</t>
  </si>
  <si>
    <t>Fiscal period, zero-padded to three digits.</t>
  </si>
  <si>
    <t>USD,EUR,GBP</t>
  </si>
  <si>
    <t>Reporting currency.</t>
  </si>
  <si>
    <t>ALL,100100,100200,100300</t>
  </si>
  <si>
    <t>Optional cost center filter.</t>
  </si>
  <si>
    <t>ALL,US01,US02,UK01</t>
  </si>
  <si>
    <t>Optional plant filter.</t>
  </si>
  <si>
    <t>ALL,PC100,PC200,PC300</t>
  </si>
  <si>
    <t>Optional profit center filter.</t>
  </si>
  <si>
    <t>ALL,FINANCE,OPS,SALES</t>
  </si>
  <si>
    <t>Optional batch grouping value.</t>
  </si>
  <si>
    <t>Prompt Mapping</t>
  </si>
  <si>
    <t>Maps workbook parameters to SAP Analysis for Office variable names and data source aliases.</t>
  </si>
  <si>
    <t>AfoVariableName</t>
  </si>
  <si>
    <t>ApplyToDataSource</t>
  </si>
  <si>
    <t>Run Log</t>
  </si>
  <si>
    <t>Operational audit trail for refresh, parameter, validation, export, and adapter events.</t>
  </si>
  <si>
    <t>LogID</t>
  </si>
  <si>
    <t>Procedure</t>
  </si>
  <si>
    <t>Details</t>
  </si>
  <si>
    <t>RunFullBatch</t>
  </si>
  <si>
    <t>Mock mode execution started</t>
  </si>
  <si>
    <t>ApplyParametersToReport</t>
  </si>
  <si>
    <t>8 variables mapped to DS_1</t>
  </si>
  <si>
    <t>RefreshReport</t>
  </si>
  <si>
    <t>Duration 98 seconds</t>
  </si>
  <si>
    <t>ExportReport</t>
  </si>
  <si>
    <t>Output file created</t>
  </si>
  <si>
    <t>Duration 76 seconds</t>
  </si>
  <si>
    <t>Duration 64 seconds</t>
  </si>
  <si>
    <t>Mock warning injected for demonstration</t>
  </si>
  <si>
    <t>Adapter returned failure</t>
  </si>
  <si>
    <t>RunReportByID</t>
  </si>
  <si>
    <t>Batch continued after failure</t>
  </si>
  <si>
    <t>Duration 82 seconds</t>
  </si>
  <si>
    <t>Export History</t>
  </si>
  <si>
    <t>Records all report output files generated by the orchestrator.</t>
  </si>
  <si>
    <t>ExportID</t>
  </si>
  <si>
    <t>OutputFormat</t>
  </si>
  <si>
    <t>OutputPath</t>
  </si>
  <si>
    <t>ErrorMessage</t>
  </si>
  <si>
    <t>C:\SAP_AO\Exports\Finance\RPT001_2024_005.pdf</t>
  </si>
  <si>
    <t>C:\SAP_AO\Exports\Finance\RPT001_2024_005.xlsx</t>
  </si>
  <si>
    <t>C:\SAP_AO\Exports\Finance\RPT002_2024_005.pdf</t>
  </si>
  <si>
    <t>C:\SAP_AO\Exports\Finance\RPT002_2024_005.xlsx</t>
  </si>
  <si>
    <t>C:\SAP_AO\Exports\Finance\RPT003_2024_005.pdf</t>
  </si>
  <si>
    <t>C:\SAP_AO\Exports\Finance\RPT003_2024_005.csv</t>
  </si>
  <si>
    <t>C:\SAP_AO\Exports\Controlling\RPT005_2024_005.pdf</t>
  </si>
  <si>
    <t>C:\SAP_AO\Exports\Controlling\RPT005_2024_005.xlsx</t>
  </si>
  <si>
    <t>C:\SAP_AO\Exports\Operations\RPT006_2024_005.pdf</t>
  </si>
  <si>
    <t>Some plants returned no rows</t>
  </si>
  <si>
    <t>Settings</t>
  </si>
  <si>
    <t>Workbook-level configuration values. UseMockMode controls demo vs real adapter routing.</t>
  </si>
  <si>
    <t>SettingName</t>
  </si>
  <si>
    <t>SettingValue</t>
  </si>
  <si>
    <t>UseMockMode</t>
  </si>
  <si>
    <t>TRUE</t>
  </si>
  <si>
    <t>TRUE simulates refreshes and exports; FALSE routes calls through modAFOAdapter placeholders.</t>
  </si>
  <si>
    <t>DefaultExportRoot</t>
  </si>
  <si>
    <t>C:\SAP_AO\Exports</t>
  </si>
  <si>
    <t>Root folder used when a report-specific export folder is blank.</t>
  </si>
  <si>
    <t>DefaultReportID</t>
  </si>
  <si>
    <t>Default selected report on the Control Center.</t>
  </si>
  <si>
    <t>ContinueBatchOnError</t>
  </si>
  <si>
    <t>Continue running active reports when one report fails.</t>
  </si>
  <si>
    <t>LogDebugToImmediate</t>
  </si>
  <si>
    <t>Also write log entries to the VBA Immediate Window.</t>
  </si>
  <si>
    <t>PdfQuality</t>
  </si>
  <si>
    <t>Standard</t>
  </si>
  <si>
    <t>PDF quality passed to ExportAsFixedFormat.</t>
  </si>
  <si>
    <t>CreateDatedSubfolders</t>
  </si>
  <si>
    <t>Create yyyy-mm-dd subfolders below export folders.</t>
  </si>
  <si>
    <t>TimestampFormat</t>
  </si>
  <si>
    <t>yyyymmdd_hhnnss</t>
  </si>
  <si>
    <t>Timestamp fragment used in output filenames.</t>
  </si>
  <si>
    <t>MockFailureRate</t>
  </si>
  <si>
    <t>0.12</t>
  </si>
  <si>
    <t>Approximate failure rate used in mock mode.</t>
  </si>
  <si>
    <t>MockWarningRate</t>
  </si>
  <si>
    <t>0.18</t>
  </si>
  <si>
    <t>Approximate warning rate used in mock mode.</t>
  </si>
  <si>
    <t>EnvironmentName</t>
  </si>
  <si>
    <t>Status bar environment label.</t>
  </si>
  <si>
    <t>Version</t>
  </si>
  <si>
    <t>Workbook application version.</t>
  </si>
  <si>
    <t>SAP Analysis for Office Report Orchestrator</t>
  </si>
  <si>
    <t>Purpose</t>
  </si>
  <si>
    <t>Enterprise-style Excel/VBA cockpit for managing, parameterising, refreshing, monitoring, and exporting SAP Analysis for Office reports.</t>
  </si>
  <si>
    <t>Important</t>
  </si>
  <si>
    <t>The workbook intentionally contains no proprietary SAP Analysis for Office API calls. Insert your known commands in vba\modAFOAdapter.bas.</t>
  </si>
  <si>
    <t>Workbook</t>
  </si>
  <si>
    <t>This .xlsx file is the visual/data template. Save a copy as .xlsm before importing the VBA source files.</t>
  </si>
  <si>
    <t>Initialize</t>
  </si>
  <si>
    <t>After importing modules/classes, run InitializeApplication to rebuild sheets, tables, buttons, formatting, and sample data.</t>
  </si>
  <si>
    <t>UseMockMode=TRUE simulates refresh and export behavior so the cockpit can be demoed without SAP connectivity.</t>
  </si>
  <si>
    <t>Tables</t>
  </si>
  <si>
    <t>tblReports, tblParameters, tblPromptMapping, tblRunLog, tblExportHistory, and tblSettings are provided with sample data.</t>
  </si>
  <si>
    <t>Buttons</t>
  </si>
  <si>
    <t>The dashboard shows button-style controls. The VBA macro rebuild creates assigned Excel buttons in the .xlsm workbook.</t>
  </si>
  <si>
    <r>
      <t xml:space="preserve">   Reset Parameters
</t>
    </r>
    <r>
      <rPr>
        <sz val="9"/>
        <color rgb="FFFFFFFF"/>
        <rFont val="Segoe UI"/>
        <family val="2"/>
      </rPr>
      <t xml:space="preserve">   Reset to default values</t>
    </r>
  </si>
  <si>
    <r>
      <t xml:space="preserve">   Clear Log</t>
    </r>
    <r>
      <rPr>
        <b/>
        <sz val="9"/>
        <color rgb="FFFFFFFF"/>
        <rFont val="Segoe UI"/>
      </rPr>
      <t xml:space="preserve">
</t>
    </r>
    <r>
      <rPr>
        <sz val="9"/>
        <color rgb="FFFFFFFF"/>
        <rFont val="Segoe UI"/>
        <family val="2"/>
      </rPr>
      <t xml:space="preserve">   Clear run log entries</t>
    </r>
  </si>
  <si>
    <r>
      <t xml:space="preserve">   Refresh Selected
</t>
    </r>
    <r>
      <rPr>
        <sz val="9"/>
        <color rgb="FFFFFFFF"/>
        <rFont val="Segoe UI"/>
        <family val="2"/>
      </rPr>
      <t xml:space="preserve">   Run the selected report</t>
    </r>
  </si>
  <si>
    <r>
      <t xml:space="preserve">   Run Full Batch
</t>
    </r>
    <r>
      <rPr>
        <sz val="9"/>
        <color rgb="FFFFFFFF"/>
        <rFont val="Segoe UI"/>
        <family val="2"/>
      </rPr>
      <t xml:space="preserve">   Run all active reports</t>
    </r>
  </si>
  <si>
    <r>
      <t xml:space="preserve">   Validate Setup
</t>
    </r>
    <r>
      <rPr>
        <sz val="9"/>
        <color rgb="FFFFFFFF"/>
        <rFont val="Segoe UI"/>
        <family val="2"/>
      </rPr>
      <t xml:space="preserve">   Validate parameters &amp; setup</t>
    </r>
  </si>
  <si>
    <r>
      <t xml:space="preserve">   Export Pack
</t>
    </r>
    <r>
      <rPr>
        <sz val="9"/>
        <color rgb="FFFFFFFF"/>
        <rFont val="Segoe UI"/>
        <family val="2"/>
      </rPr>
      <t xml:space="preserve">   Export selected reports</t>
    </r>
  </si>
  <si>
    <r>
      <t xml:space="preserve">   Open Export Folder
</t>
    </r>
    <r>
      <rPr>
        <sz val="9"/>
        <color rgb="FFFFFFFF"/>
        <rFont val="Segoe UI"/>
        <family val="2"/>
      </rPr>
      <t xml:space="preserve">   Open output folder</t>
    </r>
  </si>
  <si>
    <t>Full Directory</t>
  </si>
  <si>
    <t>C:\Desktop\Excel Report inventory\RPT001.xlsm</t>
  </si>
  <si>
    <t>☷  Export Full Log</t>
  </si>
  <si>
    <t>RPT013</t>
  </si>
  <si>
    <t>RPT014</t>
  </si>
  <si>
    <t>RPT015</t>
  </si>
  <si>
    <t>RPT016</t>
  </si>
  <si>
    <t>RPT017</t>
  </si>
  <si>
    <t>RPT018</t>
  </si>
  <si>
    <t>RPT019</t>
  </si>
  <si>
    <t>RPT020</t>
  </si>
  <si>
    <t>RPT021</t>
  </si>
  <si>
    <t>RPT022</t>
  </si>
  <si>
    <t>RPT023</t>
  </si>
  <si>
    <t>RPT024</t>
  </si>
  <si>
    <t>RPT025</t>
  </si>
  <si>
    <t>15-May-2024 10:19</t>
  </si>
  <si>
    <t>15-May-2024 10:20</t>
  </si>
  <si>
    <t>15-May-2024 10:21</t>
  </si>
  <si>
    <t>15-May-2024 10:22</t>
  </si>
  <si>
    <t>15-May-2024 10:23</t>
  </si>
  <si>
    <t>15-May-2024 10:24</t>
  </si>
  <si>
    <t>15-May-2024 10:25</t>
  </si>
  <si>
    <t>15-May-2024 10:26</t>
  </si>
  <si>
    <t>15-May-2024 10:27</t>
  </si>
  <si>
    <t>15-May-2024 10:28</t>
  </si>
  <si>
    <t>15-May-2024 10:29</t>
  </si>
  <si>
    <t>15-May-2024 10:30</t>
  </si>
  <si>
    <t>15-May-2024 10:31</t>
  </si>
  <si>
    <t>15-May-2024 10:32</t>
  </si>
  <si>
    <t>15-May-2024 10:33</t>
  </si>
  <si>
    <t>15-May-2024 10:34</t>
  </si>
  <si>
    <t>15-May-2024 10:35</t>
  </si>
  <si>
    <t>SAP ANALYSIS FOR OFFICE REPORT AUTOMATION</t>
  </si>
  <si>
    <t>Pending</t>
  </si>
  <si>
    <t>Complete</t>
  </si>
  <si>
    <t xml:space="preserve"> Value</t>
  </si>
  <si>
    <t>No Warning</t>
  </si>
  <si>
    <t>Fails</t>
  </si>
  <si>
    <t>Non Fails</t>
  </si>
  <si>
    <t xml:space="preserve">    Username:</t>
  </si>
  <si>
    <t xml:space="preserve">    Password:</t>
  </si>
  <si>
    <t>User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</si>
</sst>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name val="Carlito"/>
    </font>
    <font>
      <sz val="9"/>
      <color rgb="FF111827"/>
      <name val="Segoe UI"/>
    </font>
    <font>
      <b/>
      <sz val="13"/>
      <color rgb="FFFFFFFF"/>
      <name val="Segoe UI"/>
    </font>
    <font>
      <b/>
      <sz val="22"/>
      <color rgb="FFFFFFFF"/>
      <name val="Segoe UI"/>
    </font>
    <font>
      <b/>
      <sz val="11"/>
      <color rgb="FFDDEBFA"/>
      <name val="Segoe UI"/>
    </font>
    <font>
      <b/>
      <sz val="9"/>
      <color rgb="FFFFFFFF"/>
      <name val="Segoe UI"/>
    </font>
    <font>
      <b/>
      <sz val="10"/>
      <color rgb="FFFFFFFF"/>
      <name val="Segoe UI"/>
    </font>
    <font>
      <b/>
      <sz val="18"/>
      <color rgb="FFFFFFFF"/>
      <name val="Segoe UI"/>
    </font>
    <font>
      <b/>
      <sz val="9"/>
      <color rgb="FF082C67"/>
      <name val="Segoe UI"/>
    </font>
    <font>
      <b/>
      <sz val="9"/>
      <color rgb="FF2E9F2E"/>
      <name val="Segoe UI"/>
    </font>
    <font>
      <b/>
      <sz val="18"/>
      <color rgb="FF1E73BE"/>
      <name val="Segoe UI"/>
    </font>
    <font>
      <b/>
      <sz val="8"/>
      <color rgb="FF1E73BE"/>
      <name val="Segoe UI"/>
    </font>
    <font>
      <b/>
      <sz val="18"/>
      <color rgb="FF2E9F2E"/>
      <name val="Segoe UI"/>
    </font>
    <font>
      <b/>
      <sz val="8"/>
      <color rgb="FF2E9F2E"/>
      <name val="Segoe UI"/>
    </font>
    <font>
      <b/>
      <sz val="18"/>
      <color rgb="FFC00000"/>
      <name val="Segoe UI"/>
    </font>
    <font>
      <b/>
      <sz val="8"/>
      <color rgb="FFC00000"/>
      <name val="Segoe UI"/>
    </font>
    <font>
      <b/>
      <sz val="18"/>
      <color rgb="FFF2A900"/>
      <name val="Segoe UI"/>
    </font>
    <font>
      <b/>
      <sz val="8"/>
      <color rgb="FFF2A900"/>
      <name val="Segoe UI"/>
    </font>
    <font>
      <b/>
      <sz val="18"/>
      <color rgb="FF7030A0"/>
      <name val="Segoe UI"/>
    </font>
    <font>
      <b/>
      <sz val="8"/>
      <color rgb="FF7030A0"/>
      <name val="Segoe UI"/>
    </font>
    <font>
      <b/>
      <sz val="9"/>
      <color rgb="FFC00000"/>
      <name val="Segoe UI"/>
    </font>
    <font>
      <b/>
      <sz val="9"/>
      <color rgb="FFF2A900"/>
      <name val="Segoe UI"/>
    </font>
    <font>
      <b/>
      <sz val="9"/>
      <color rgb="FFA3A3A3"/>
      <name val="Segoe UI"/>
    </font>
    <font>
      <sz val="8"/>
      <color rgb="FF333333"/>
      <name val="Segoe UI"/>
    </font>
    <font>
      <b/>
      <sz val="9"/>
      <color rgb="FF333333"/>
      <name val="Segoe UI"/>
    </font>
    <font>
      <b/>
      <sz val="14"/>
      <color rgb="FF082C67"/>
      <name val="Segoe UI"/>
    </font>
    <font>
      <b/>
      <sz val="10"/>
      <color rgb="FF082C67"/>
      <name val="Segoe UI"/>
    </font>
    <font>
      <b/>
      <sz val="9"/>
      <color rgb="FFFDE047"/>
      <name val="Segoe UI"/>
    </font>
    <font>
      <b/>
      <sz val="11"/>
      <color rgb="FFFFFFFF"/>
      <name val="Segoe UI"/>
    </font>
    <font>
      <b/>
      <sz val="9"/>
      <color rgb="FFDDEBFA"/>
      <name val="Segoe UI"/>
    </font>
    <font>
      <b/>
      <sz val="9"/>
      <color rgb="FF111827"/>
      <name val="Segoe UI"/>
    </font>
    <font>
      <b/>
      <sz val="11"/>
      <color rgb="FFFFFFFF"/>
      <name val="Carlito"/>
    </font>
    <font>
      <b/>
      <sz val="9"/>
      <color rgb="FF082C67"/>
      <name val="Carlito"/>
    </font>
    <font>
      <sz val="10"/>
      <color rgb="FF111827"/>
      <name val="Segoe UI"/>
    </font>
    <font>
      <sz val="11"/>
      <name val="Carlito"/>
    </font>
    <font>
      <b/>
      <sz val="12"/>
      <color rgb="FF2E9F2E"/>
      <name val="Segoe UI"/>
      <family val="2"/>
    </font>
    <font>
      <b/>
      <sz val="12"/>
      <color rgb="FF1E73BE"/>
      <name val="Segoe UI"/>
      <family val="2"/>
    </font>
    <font>
      <b/>
      <sz val="12"/>
      <color rgb="FFC00000"/>
      <name val="Segoe UI"/>
      <family val="2"/>
    </font>
    <font>
      <b/>
      <sz val="12"/>
      <color rgb="FFF2A900"/>
      <name val="Segoe UI"/>
      <family val="2"/>
    </font>
    <font>
      <b/>
      <sz val="12"/>
      <color rgb="FF7030A0"/>
      <name val="Segoe UI"/>
      <family val="2"/>
    </font>
    <font>
      <b/>
      <sz val="9"/>
      <color rgb="FF082C67"/>
      <name val="Segoe UI"/>
      <family val="2"/>
    </font>
    <font>
      <b/>
      <sz val="9"/>
      <color rgb="FFC00000"/>
      <name val="Segoe UI"/>
      <family val="2"/>
    </font>
    <font>
      <b/>
      <sz val="13"/>
      <color rgb="FFFFFFFF"/>
      <name val="Segoe UI"/>
      <family val="2"/>
    </font>
    <font>
      <sz val="9"/>
      <color rgb="FFFFFFFF"/>
      <name val="Segoe UI"/>
      <family val="2"/>
    </font>
    <font>
      <b/>
      <sz val="9"/>
      <color rgb="FFFFFFFF"/>
      <name val="Segoe UI"/>
      <family val="2"/>
    </font>
    <font>
      <sz val="8"/>
      <color rgb="FF333333"/>
      <name val="Segoe UI"/>
      <family val="2"/>
    </font>
    <font>
      <sz val="8"/>
      <name val="Carlito"/>
    </font>
    <font>
      <b/>
      <sz val="16"/>
      <color rgb="FFFFFFFF"/>
      <name val="Segoe UI"/>
      <family val="2"/>
    </font>
    <font>
      <b/>
      <sz val="14"/>
      <color rgb="FFDDEBFA"/>
      <name val="Segoe UI"/>
      <family val="2"/>
    </font>
    <font>
      <b/>
      <sz val="22"/>
      <color rgb="FFFFFFFF"/>
      <name val="Segoe UI"/>
      <family val="2"/>
    </font>
    <font>
      <b/>
      <sz val="10"/>
      <color rgb="FF111827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7FAFE"/>
      </patternFill>
    </fill>
    <fill>
      <patternFill patternType="solid">
        <fgColor rgb="FF082C67"/>
      </patternFill>
    </fill>
    <fill>
      <patternFill patternType="solid">
        <fgColor rgb="FFFFFFFF"/>
      </patternFill>
    </fill>
    <fill>
      <patternFill patternType="solid">
        <fgColor rgb="FF2E9F2E"/>
      </patternFill>
    </fill>
    <fill>
      <patternFill patternType="solid">
        <fgColor rgb="FFDDEBFA"/>
      </patternFill>
    </fill>
    <fill>
      <patternFill patternType="solid">
        <fgColor rgb="FFF8FAFC"/>
      </patternFill>
    </fill>
    <fill>
      <patternFill patternType="solid">
        <fgColor rgb="FFE5E7EB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B7B7"/>
        <bgColor indexed="64"/>
      </patternFill>
    </fill>
  </fills>
  <borders count="34">
    <border>
      <left/>
      <right/>
      <top/>
      <bottom/>
      <diagonal/>
    </border>
    <border>
      <left style="thin">
        <color rgb="FFC8D4E3"/>
      </left>
      <right style="thin">
        <color rgb="FFC8D4E3"/>
      </right>
      <top style="thin">
        <color rgb="FFC8D4E3"/>
      </top>
      <bottom style="thin">
        <color rgb="FFC8D4E3"/>
      </bottom>
      <diagonal/>
    </border>
    <border>
      <left style="thin">
        <color rgb="FF082C67"/>
      </left>
      <right/>
      <top style="thin">
        <color rgb="FF082C67"/>
      </top>
      <bottom style="thin">
        <color rgb="FF082C67"/>
      </bottom>
      <diagonal/>
    </border>
    <border>
      <left/>
      <right/>
      <top style="thin">
        <color rgb="FF082C67"/>
      </top>
      <bottom style="thin">
        <color rgb="FF082C67"/>
      </bottom>
      <diagonal/>
    </border>
    <border>
      <left/>
      <right style="thin">
        <color rgb="FF082C67"/>
      </right>
      <top style="thin">
        <color rgb="FF082C67"/>
      </top>
      <bottom style="thin">
        <color rgb="FF082C67"/>
      </bottom>
      <diagonal/>
    </border>
    <border>
      <left style="thin">
        <color rgb="FFC8D4E3"/>
      </left>
      <right style="thin">
        <color rgb="FFC8D4E3"/>
      </right>
      <top style="thin">
        <color rgb="FFFFFFFF"/>
      </top>
      <bottom style="thin">
        <color rgb="FFC8D4E3"/>
      </bottom>
      <diagonal/>
    </border>
    <border>
      <left style="thin">
        <color rgb="FFC8D4E3"/>
      </left>
      <right style="thin">
        <color rgb="FFFFFFFF"/>
      </right>
      <top style="thin">
        <color rgb="FFFFFFFF"/>
      </top>
      <bottom style="thin">
        <color rgb="FFC8D4E3"/>
      </bottom>
      <diagonal/>
    </border>
    <border>
      <left style="thin">
        <color rgb="FFC8D4E3"/>
      </left>
      <right style="thin">
        <color rgb="FFFFFFFF"/>
      </right>
      <top style="thin">
        <color rgb="FFC8D4E3"/>
      </top>
      <bottom style="thin">
        <color rgb="FFC8D4E3"/>
      </bottom>
      <diagonal/>
    </border>
    <border>
      <left style="thin">
        <color rgb="FFC8D4E3"/>
      </left>
      <right style="thin">
        <color rgb="FFC8D4E3"/>
      </right>
      <top style="thin">
        <color rgb="FFC8D4E3"/>
      </top>
      <bottom style="thin">
        <color rgb="FFFFFFFF"/>
      </bottom>
      <diagonal/>
    </border>
    <border>
      <left style="thin">
        <color rgb="FFC8D4E3"/>
      </left>
      <right style="thin">
        <color rgb="FFFFFFFF"/>
      </right>
      <top style="thin">
        <color rgb="FFC8D4E3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6DEE9"/>
      </left>
      <right style="thin">
        <color rgb="FFD6DEE9"/>
      </right>
      <top style="thin">
        <color rgb="FFD6DEE9"/>
      </top>
      <bottom style="thin">
        <color rgb="FFD6DEE9"/>
      </bottom>
      <diagonal/>
    </border>
    <border>
      <left style="thin">
        <color rgb="FFC8D4E3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2E9F2E"/>
      </left>
      <right style="thin">
        <color rgb="FFC8D4E3"/>
      </right>
      <top style="thin">
        <color rgb="FF2E9F2E"/>
      </top>
      <bottom style="thin">
        <color rgb="FF2E9F2E"/>
      </bottom>
      <diagonal/>
    </border>
    <border>
      <left style="thin">
        <color rgb="FFC8D4E3"/>
      </left>
      <right style="thin">
        <color rgb="FFC8D4E3"/>
      </right>
      <top style="thin">
        <color rgb="FF2E9F2E"/>
      </top>
      <bottom style="thin">
        <color rgb="FF2E9F2E"/>
      </bottom>
      <diagonal/>
    </border>
    <border>
      <left style="thin">
        <color rgb="FFC8D4E3"/>
      </left>
      <right style="thin">
        <color rgb="FF2E9F2E"/>
      </right>
      <top style="thin">
        <color rgb="FF2E9F2E"/>
      </top>
      <bottom style="thin">
        <color rgb="FF2E9F2E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/>
      <top style="thin">
        <color rgb="FF082C67"/>
      </top>
      <bottom/>
      <diagonal/>
    </border>
    <border>
      <left/>
      <right style="thin">
        <color rgb="FFCBD5E1"/>
      </right>
      <top style="thin">
        <color rgb="FF082C67"/>
      </top>
      <bottom/>
      <diagonal/>
    </border>
    <border>
      <left style="thin">
        <color rgb="FFC8D4E3"/>
      </left>
      <right/>
      <top style="thin">
        <color rgb="FFC8D4E3"/>
      </top>
      <bottom style="thin">
        <color rgb="FFC8D4E3"/>
      </bottom>
      <diagonal/>
    </border>
    <border>
      <left/>
      <right style="thin">
        <color rgb="FFC8D4E3"/>
      </right>
      <top style="thin">
        <color rgb="FFC8D4E3"/>
      </top>
      <bottom style="thin">
        <color rgb="FFC8D4E3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148">
    <xf numFmtId="0" fontId="0" fillId="0" borderId="0" xfId="0"/>
    <xf numFmtId="0" fontId="1" fillId="2" borderId="0" xfId="0" applyNumberFormat="1" applyFont="1" applyFill="1" applyBorder="1"/>
    <xf numFmtId="0" fontId="1" fillId="4" borderId="1" xfId="0" applyNumberFormat="1" applyFont="1" applyFill="1" applyBorder="1" applyAlignment="1">
      <alignment vertical="center"/>
    </xf>
    <xf numFmtId="0" fontId="8" fillId="6" borderId="12" xfId="0" applyNumberFormat="1" applyFont="1" applyFill="1" applyBorder="1" applyAlignment="1">
      <alignment horizontal="center" vertical="center" wrapText="1"/>
    </xf>
    <xf numFmtId="0" fontId="1" fillId="4" borderId="13" xfId="0" applyNumberFormat="1" applyFont="1" applyFill="1" applyBorder="1" applyAlignment="1">
      <alignment vertical="center"/>
    </xf>
    <xf numFmtId="0" fontId="1" fillId="4" borderId="13" xfId="0" applyNumberFormat="1" applyFont="1" applyFill="1" applyBorder="1" applyAlignment="1">
      <alignment horizontal="center" vertical="center"/>
    </xf>
    <xf numFmtId="0" fontId="1" fillId="4" borderId="13" xfId="0" applyNumberFormat="1" applyFont="1" applyFill="1" applyBorder="1" applyAlignment="1">
      <alignment horizontal="left" vertical="center"/>
    </xf>
    <xf numFmtId="0" fontId="9" fillId="4" borderId="13" xfId="0" applyNumberFormat="1" applyFont="1" applyFill="1" applyBorder="1" applyAlignment="1">
      <alignment horizontal="center" vertical="center"/>
    </xf>
    <xf numFmtId="0" fontId="8" fillId="4" borderId="13" xfId="0" applyNumberFormat="1" applyFont="1" applyFill="1" applyBorder="1" applyAlignment="1">
      <alignment vertical="center"/>
    </xf>
    <xf numFmtId="0" fontId="9" fillId="4" borderId="13" xfId="0" applyNumberFormat="1" applyFont="1" applyFill="1" applyBorder="1" applyAlignment="1">
      <alignment vertical="center"/>
    </xf>
    <xf numFmtId="0" fontId="20" fillId="4" borderId="13" xfId="0" applyNumberFormat="1" applyFont="1" applyFill="1" applyBorder="1" applyAlignment="1">
      <alignment vertical="center"/>
    </xf>
    <xf numFmtId="0" fontId="20" fillId="4" borderId="13" xfId="0" applyNumberFormat="1" applyFont="1" applyFill="1" applyBorder="1" applyAlignment="1">
      <alignment horizontal="center" vertical="center"/>
    </xf>
    <xf numFmtId="0" fontId="21" fillId="4" borderId="13" xfId="0" applyNumberFormat="1" applyFont="1" applyFill="1" applyBorder="1" applyAlignment="1">
      <alignment vertical="center"/>
    </xf>
    <xf numFmtId="0" fontId="21" fillId="4" borderId="13" xfId="0" applyNumberFormat="1" applyFont="1" applyFill="1" applyBorder="1" applyAlignment="1">
      <alignment horizontal="center" vertical="center"/>
    </xf>
    <xf numFmtId="0" fontId="22" fillId="4" borderId="13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vertical="center"/>
    </xf>
    <xf numFmtId="0" fontId="1" fillId="8" borderId="14" xfId="0" applyNumberFormat="1" applyFont="1" applyFill="1" applyBorder="1" applyAlignment="1">
      <alignment vertical="center"/>
    </xf>
    <xf numFmtId="0" fontId="1" fillId="5" borderId="15" xfId="0" applyNumberFormat="1" applyFont="1" applyFill="1" applyBorder="1" applyAlignment="1">
      <alignment vertical="center"/>
    </xf>
    <xf numFmtId="0" fontId="1" fillId="5" borderId="16" xfId="0" applyNumberFormat="1" applyFont="1" applyFill="1" applyBorder="1" applyAlignment="1">
      <alignment vertical="center"/>
    </xf>
    <xf numFmtId="0" fontId="1" fillId="5" borderId="17" xfId="0" applyNumberFormat="1" applyFont="1" applyFill="1" applyBorder="1" applyAlignment="1">
      <alignment vertical="center"/>
    </xf>
    <xf numFmtId="0" fontId="5" fillId="3" borderId="0" xfId="0" applyNumberFormat="1" applyFont="1" applyFill="1" applyBorder="1"/>
    <xf numFmtId="0" fontId="27" fillId="3" borderId="0" xfId="0" applyNumberFormat="1" applyFont="1" applyFill="1" applyBorder="1"/>
    <xf numFmtId="0" fontId="28" fillId="3" borderId="0" xfId="0" applyNumberFormat="1" applyFont="1" applyFill="1" applyBorder="1"/>
    <xf numFmtId="0" fontId="30" fillId="3" borderId="0" xfId="0" applyNumberFormat="1" applyFont="1" applyFill="1" applyBorder="1"/>
    <xf numFmtId="0" fontId="0" fillId="0" borderId="13" xfId="0" applyNumberFormat="1" applyFont="1" applyFill="1" applyBorder="1"/>
    <xf numFmtId="0" fontId="0" fillId="0" borderId="13" xfId="0" applyNumberFormat="1" applyFont="1" applyFill="1" applyBorder="1" applyAlignment="1">
      <alignment vertical="center"/>
    </xf>
    <xf numFmtId="0" fontId="0" fillId="0" borderId="13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13" xfId="0" applyNumberFormat="1" applyFont="1" applyFill="1" applyBorder="1" applyAlignment="1">
      <alignment vertical="center"/>
    </xf>
    <xf numFmtId="0" fontId="0" fillId="0" borderId="13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31" fillId="3" borderId="13" xfId="0" applyNumberFormat="1" applyFont="1" applyFill="1" applyBorder="1" applyAlignment="1">
      <alignment vertical="center"/>
    </xf>
    <xf numFmtId="0" fontId="32" fillId="6" borderId="12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0" fillId="0" borderId="13" xfId="0" applyNumberFormat="1" applyFont="1" applyFill="1" applyBorder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31" fillId="3" borderId="13" xfId="0" applyNumberFormat="1" applyFont="1" applyFill="1" applyBorder="1" applyAlignment="1">
      <alignment vertical="center" wrapText="1"/>
    </xf>
    <xf numFmtId="0" fontId="31" fillId="3" borderId="13" xfId="0" applyNumberFormat="1" applyFont="1" applyFill="1" applyBorder="1" applyAlignment="1">
      <alignment vertical="center"/>
    </xf>
    <xf numFmtId="0" fontId="0" fillId="0" borderId="13" xfId="0" applyNumberFormat="1" applyFont="1" applyFill="1" applyBorder="1" applyAlignment="1">
      <alignment vertical="top" wrapText="1"/>
    </xf>
    <xf numFmtId="0" fontId="31" fillId="3" borderId="13" xfId="0" applyNumberFormat="1" applyFont="1" applyFill="1" applyBorder="1" applyAlignment="1">
      <alignment vertical="top" wrapText="1"/>
    </xf>
    <xf numFmtId="0" fontId="33" fillId="2" borderId="0" xfId="0" applyNumberFormat="1" applyFont="1" applyFill="1" applyBorder="1"/>
    <xf numFmtId="0" fontId="26" fillId="6" borderId="12" xfId="0" applyNumberFormat="1" applyFont="1" applyFill="1" applyBorder="1"/>
    <xf numFmtId="0" fontId="33" fillId="4" borderId="12" xfId="0" applyNumberFormat="1" applyFont="1" applyFill="1" applyBorder="1" applyAlignment="1">
      <alignment wrapText="1"/>
    </xf>
    <xf numFmtId="0" fontId="23" fillId="4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/>
    <xf numFmtId="0" fontId="4" fillId="3" borderId="0" xfId="0" applyNumberFormat="1" applyFont="1" applyFill="1" applyBorder="1" applyAlignment="1">
      <alignment vertical="center"/>
    </xf>
    <xf numFmtId="0" fontId="40" fillId="6" borderId="12" xfId="0" applyNumberFormat="1" applyFont="1" applyFill="1" applyBorder="1" applyAlignment="1">
      <alignment horizontal="center" vertical="center" wrapText="1"/>
    </xf>
    <xf numFmtId="0" fontId="45" fillId="4" borderId="21" xfId="0" applyNumberFormat="1" applyFont="1" applyFill="1" applyBorder="1" applyAlignment="1">
      <alignment horizontal="center" vertical="center"/>
    </xf>
    <xf numFmtId="0" fontId="45" fillId="4" borderId="22" xfId="0" applyNumberFormat="1" applyFont="1" applyFill="1" applyBorder="1" applyAlignment="1">
      <alignment horizontal="center" vertical="center"/>
    </xf>
    <xf numFmtId="0" fontId="49" fillId="3" borderId="0" xfId="0" applyNumberFormat="1" applyFont="1" applyFill="1" applyBorder="1" applyAlignment="1"/>
    <xf numFmtId="9" fontId="0" fillId="0" borderId="0" xfId="1" applyFont="1"/>
    <xf numFmtId="0" fontId="6" fillId="3" borderId="0" xfId="0" applyNumberFormat="1" applyFont="1" applyFill="1" applyBorder="1" applyAlignment="1">
      <alignment horizontal="left" vertical="center"/>
    </xf>
    <xf numFmtId="0" fontId="50" fillId="2" borderId="0" xfId="0" applyNumberFormat="1" applyFont="1" applyFill="1" applyBorder="1"/>
    <xf numFmtId="0" fontId="47" fillId="3" borderId="0" xfId="0" applyNumberFormat="1" applyFont="1" applyFill="1" applyBorder="1" applyAlignment="1">
      <alignment vertical="center" wrapText="1"/>
    </xf>
    <xf numFmtId="9" fontId="25" fillId="4" borderId="1" xfId="0" applyNumberFormat="1" applyFont="1" applyFill="1" applyBorder="1" applyAlignment="1">
      <alignment horizontal="right" vertical="center"/>
    </xf>
    <xf numFmtId="0" fontId="0" fillId="0" borderId="33" xfId="0" applyBorder="1" applyAlignment="1">
      <alignment horizontal="center"/>
    </xf>
    <xf numFmtId="0" fontId="47" fillId="3" borderId="0" xfId="0" applyNumberFormat="1" applyFont="1" applyFill="1" applyBorder="1" applyAlignment="1">
      <alignment horizontal="center" vertical="center" wrapText="1"/>
    </xf>
    <xf numFmtId="0" fontId="47" fillId="3" borderId="0" xfId="0" applyNumberFormat="1" applyFont="1" applyFill="1" applyBorder="1" applyAlignment="1">
      <alignment horizontal="right" vertical="center" wrapText="1"/>
    </xf>
    <xf numFmtId="22" fontId="47" fillId="3" borderId="0" xfId="0" applyNumberFormat="1" applyFont="1" applyFill="1" applyBorder="1" applyAlignment="1">
      <alignment horizontal="right" vertical="center" wrapText="1"/>
    </xf>
    <xf numFmtId="0" fontId="48" fillId="3" borderId="0" xfId="0" applyNumberFormat="1" applyFont="1" applyFill="1" applyBorder="1" applyAlignment="1">
      <alignment horizontal="left" vertical="center" wrapText="1"/>
    </xf>
    <xf numFmtId="0" fontId="40" fillId="6" borderId="19" xfId="0" applyNumberFormat="1" applyFont="1" applyFill="1" applyBorder="1" applyAlignment="1">
      <alignment horizontal="center" vertical="center" wrapText="1"/>
    </xf>
    <xf numFmtId="0" fontId="40" fillId="6" borderId="20" xfId="0" applyNumberFormat="1" applyFont="1" applyFill="1" applyBorder="1" applyAlignment="1">
      <alignment horizontal="center" vertical="center" wrapText="1"/>
    </xf>
    <xf numFmtId="0" fontId="40" fillId="7" borderId="23" xfId="0" applyNumberFormat="1" applyFont="1" applyFill="1" applyBorder="1" applyAlignment="1">
      <alignment horizontal="center" vertical="center"/>
    </xf>
    <xf numFmtId="0" fontId="40" fillId="7" borderId="24" xfId="0" applyNumberFormat="1" applyFont="1" applyFill="1" applyBorder="1" applyAlignment="1">
      <alignment horizontal="center" vertical="center"/>
    </xf>
    <xf numFmtId="0" fontId="40" fillId="7" borderId="25" xfId="0" applyNumberFormat="1" applyFont="1" applyFill="1" applyBorder="1" applyAlignment="1">
      <alignment horizontal="center" vertical="center"/>
    </xf>
    <xf numFmtId="0" fontId="40" fillId="7" borderId="26" xfId="0" applyNumberFormat="1" applyFont="1" applyFill="1" applyBorder="1" applyAlignment="1">
      <alignment horizontal="center" vertical="center"/>
    </xf>
    <xf numFmtId="0" fontId="40" fillId="7" borderId="0" xfId="0" applyNumberFormat="1" applyFont="1" applyFill="1" applyBorder="1" applyAlignment="1">
      <alignment horizontal="center" vertical="center"/>
    </xf>
    <xf numFmtId="0" fontId="40" fillId="7" borderId="27" xfId="0" applyNumberFormat="1" applyFont="1" applyFill="1" applyBorder="1" applyAlignment="1">
      <alignment horizontal="center" vertical="center"/>
    </xf>
    <xf numFmtId="0" fontId="40" fillId="7" borderId="28" xfId="0" applyNumberFormat="1" applyFont="1" applyFill="1" applyBorder="1" applyAlignment="1">
      <alignment horizontal="center" vertical="center"/>
    </xf>
    <xf numFmtId="0" fontId="40" fillId="7" borderId="29" xfId="0" applyNumberFormat="1" applyFont="1" applyFill="1" applyBorder="1" applyAlignment="1">
      <alignment horizontal="center" vertical="center"/>
    </xf>
    <xf numFmtId="0" fontId="40" fillId="7" borderId="30" xfId="0" applyNumberFormat="1" applyFont="1" applyFill="1" applyBorder="1" applyAlignment="1">
      <alignment horizontal="center" vertical="center"/>
    </xf>
    <xf numFmtId="0" fontId="41" fillId="7" borderId="31" xfId="0" applyNumberFormat="1" applyFont="1" applyFill="1" applyBorder="1" applyAlignment="1">
      <alignment horizontal="center" vertical="center" wrapText="1"/>
    </xf>
    <xf numFmtId="0" fontId="41" fillId="7" borderId="18" xfId="0" applyNumberFormat="1" applyFont="1" applyFill="1" applyBorder="1" applyAlignment="1">
      <alignment horizontal="center" vertical="center" wrapText="1"/>
    </xf>
    <xf numFmtId="0" fontId="41" fillId="7" borderId="3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left" vertical="center"/>
    </xf>
    <xf numFmtId="0" fontId="6" fillId="3" borderId="3" xfId="0" applyNumberFormat="1" applyFont="1" applyFill="1" applyBorder="1" applyAlignment="1">
      <alignment horizontal="left" vertical="center"/>
    </xf>
    <xf numFmtId="0" fontId="6" fillId="3" borderId="4" xfId="0" applyNumberFormat="1" applyFont="1" applyFill="1" applyBorder="1" applyAlignment="1">
      <alignment horizontal="left" vertical="center"/>
    </xf>
    <xf numFmtId="0" fontId="24" fillId="4" borderId="1" xfId="0" applyNumberFormat="1" applyFont="1" applyFill="1" applyBorder="1" applyAlignment="1">
      <alignment horizontal="left" vertical="center"/>
    </xf>
    <xf numFmtId="0" fontId="26" fillId="4" borderId="1" xfId="0" applyNumberFormat="1" applyFont="1" applyFill="1" applyBorder="1" applyAlignment="1">
      <alignment horizontal="right" vertical="center"/>
    </xf>
    <xf numFmtId="0" fontId="36" fillId="4" borderId="1" xfId="0" applyNumberFormat="1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0" fontId="35" fillId="4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37" fillId="4" borderId="1" xfId="0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38" fillId="4" borderId="1" xfId="0" applyNumberFormat="1" applyFont="1" applyFill="1" applyBorder="1" applyAlignment="1">
      <alignment horizontal="center" vertical="center"/>
    </xf>
    <xf numFmtId="0" fontId="16" fillId="4" borderId="1" xfId="0" applyNumberFormat="1" applyFont="1" applyFill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44" fillId="14" borderId="5" xfId="0" applyNumberFormat="1" applyFont="1" applyFill="1" applyBorder="1" applyAlignment="1">
      <alignment horizontal="left" vertical="center" wrapText="1"/>
    </xf>
    <xf numFmtId="0" fontId="5" fillId="14" borderId="5" xfId="0" applyNumberFormat="1" applyFont="1" applyFill="1" applyBorder="1" applyAlignment="1">
      <alignment horizontal="left" vertical="center" wrapText="1"/>
    </xf>
    <xf numFmtId="0" fontId="5" fillId="14" borderId="6" xfId="0" applyNumberFormat="1" applyFont="1" applyFill="1" applyBorder="1" applyAlignment="1">
      <alignment horizontal="left" vertical="center" wrapText="1"/>
    </xf>
    <xf numFmtId="0" fontId="5" fillId="14" borderId="1" xfId="0" applyNumberFormat="1" applyFont="1" applyFill="1" applyBorder="1" applyAlignment="1">
      <alignment horizontal="left" vertical="center" wrapText="1"/>
    </xf>
    <xf numFmtId="0" fontId="5" fillId="14" borderId="7" xfId="0" applyNumberFormat="1" applyFont="1" applyFill="1" applyBorder="1" applyAlignment="1">
      <alignment horizontal="left" vertical="center" wrapText="1"/>
    </xf>
    <xf numFmtId="0" fontId="5" fillId="14" borderId="8" xfId="0" applyNumberFormat="1" applyFont="1" applyFill="1" applyBorder="1" applyAlignment="1">
      <alignment horizontal="left" vertical="center" wrapText="1"/>
    </xf>
    <xf numFmtId="0" fontId="5" fillId="14" borderId="9" xfId="0" applyNumberFormat="1" applyFont="1" applyFill="1" applyBorder="1" applyAlignment="1">
      <alignment horizontal="left" vertical="center" wrapText="1"/>
    </xf>
    <xf numFmtId="0" fontId="44" fillId="15" borderId="5" xfId="0" applyNumberFormat="1" applyFont="1" applyFill="1" applyBorder="1" applyAlignment="1">
      <alignment horizontal="left" vertical="center" wrapText="1"/>
    </xf>
    <xf numFmtId="0" fontId="5" fillId="15" borderId="5" xfId="0" applyNumberFormat="1" applyFont="1" applyFill="1" applyBorder="1" applyAlignment="1">
      <alignment horizontal="left" vertical="center" wrapText="1"/>
    </xf>
    <xf numFmtId="0" fontId="5" fillId="15" borderId="6" xfId="0" applyNumberFormat="1" applyFont="1" applyFill="1" applyBorder="1" applyAlignment="1">
      <alignment horizontal="left" vertical="center" wrapText="1"/>
    </xf>
    <xf numFmtId="0" fontId="5" fillId="15" borderId="1" xfId="0" applyNumberFormat="1" applyFont="1" applyFill="1" applyBorder="1" applyAlignment="1">
      <alignment horizontal="left" vertical="center" wrapText="1"/>
    </xf>
    <xf numFmtId="0" fontId="5" fillId="15" borderId="7" xfId="0" applyNumberFormat="1" applyFont="1" applyFill="1" applyBorder="1" applyAlignment="1">
      <alignment horizontal="left" vertical="center" wrapText="1"/>
    </xf>
    <xf numFmtId="0" fontId="5" fillId="15" borderId="10" xfId="0" applyNumberFormat="1" applyFont="1" applyFill="1" applyBorder="1" applyAlignment="1">
      <alignment horizontal="left" vertical="center" wrapText="1"/>
    </xf>
    <xf numFmtId="0" fontId="5" fillId="15" borderId="11" xfId="0" applyNumberFormat="1" applyFont="1" applyFill="1" applyBorder="1" applyAlignment="1">
      <alignment horizontal="left" vertical="center" wrapText="1"/>
    </xf>
    <xf numFmtId="0" fontId="44" fillId="11" borderId="5" xfId="0" applyNumberFormat="1" applyFont="1" applyFill="1" applyBorder="1" applyAlignment="1">
      <alignment horizontal="left" vertical="center" wrapText="1"/>
    </xf>
    <xf numFmtId="0" fontId="5" fillId="11" borderId="5" xfId="0" applyNumberFormat="1" applyFont="1" applyFill="1" applyBorder="1" applyAlignment="1">
      <alignment horizontal="left" vertical="center" wrapText="1"/>
    </xf>
    <xf numFmtId="0" fontId="5" fillId="11" borderId="6" xfId="0" applyNumberFormat="1" applyFont="1" applyFill="1" applyBorder="1" applyAlignment="1">
      <alignment horizontal="left" vertical="center" wrapText="1"/>
    </xf>
    <xf numFmtId="0" fontId="5" fillId="11" borderId="1" xfId="0" applyNumberFormat="1" applyFont="1" applyFill="1" applyBorder="1" applyAlignment="1">
      <alignment horizontal="left" vertical="center" wrapText="1"/>
    </xf>
    <xf numFmtId="0" fontId="5" fillId="11" borderId="7" xfId="0" applyNumberFormat="1" applyFont="1" applyFill="1" applyBorder="1" applyAlignment="1">
      <alignment horizontal="left" vertical="center" wrapText="1"/>
    </xf>
    <xf numFmtId="0" fontId="5" fillId="11" borderId="8" xfId="0" applyNumberFormat="1" applyFont="1" applyFill="1" applyBorder="1" applyAlignment="1">
      <alignment horizontal="left" vertical="center" wrapText="1"/>
    </xf>
    <xf numFmtId="0" fontId="5" fillId="11" borderId="9" xfId="0" applyNumberFormat="1" applyFont="1" applyFill="1" applyBorder="1" applyAlignment="1">
      <alignment horizontal="left" vertical="center" wrapText="1"/>
    </xf>
    <xf numFmtId="0" fontId="44" fillId="12" borderId="5" xfId="0" applyNumberFormat="1" applyFont="1" applyFill="1" applyBorder="1" applyAlignment="1">
      <alignment horizontal="left" vertical="center" wrapText="1"/>
    </xf>
    <xf numFmtId="0" fontId="5" fillId="12" borderId="5" xfId="0" applyNumberFormat="1" applyFont="1" applyFill="1" applyBorder="1" applyAlignment="1">
      <alignment horizontal="left" vertical="center" wrapText="1"/>
    </xf>
    <xf numFmtId="0" fontId="5" fillId="12" borderId="6" xfId="0" applyNumberFormat="1" applyFont="1" applyFill="1" applyBorder="1" applyAlignment="1">
      <alignment horizontal="left" vertical="center" wrapText="1"/>
    </xf>
    <xf numFmtId="0" fontId="5" fillId="12" borderId="1" xfId="0" applyNumberFormat="1" applyFont="1" applyFill="1" applyBorder="1" applyAlignment="1">
      <alignment horizontal="left" vertical="center" wrapText="1"/>
    </xf>
    <xf numFmtId="0" fontId="5" fillId="12" borderId="7" xfId="0" applyNumberFormat="1" applyFont="1" applyFill="1" applyBorder="1" applyAlignment="1">
      <alignment horizontal="left" vertical="center" wrapText="1"/>
    </xf>
    <xf numFmtId="0" fontId="5" fillId="12" borderId="8" xfId="0" applyNumberFormat="1" applyFont="1" applyFill="1" applyBorder="1" applyAlignment="1">
      <alignment horizontal="left" vertical="center" wrapText="1"/>
    </xf>
    <xf numFmtId="0" fontId="5" fillId="12" borderId="9" xfId="0" applyNumberFormat="1" applyFont="1" applyFill="1" applyBorder="1" applyAlignment="1">
      <alignment horizontal="left" vertical="center" wrapText="1"/>
    </xf>
    <xf numFmtId="0" fontId="44" fillId="13" borderId="5" xfId="0" applyNumberFormat="1" applyFont="1" applyFill="1" applyBorder="1" applyAlignment="1">
      <alignment horizontal="left" vertical="center" wrapText="1"/>
    </xf>
    <xf numFmtId="0" fontId="5" fillId="13" borderId="5" xfId="0" applyNumberFormat="1" applyFont="1" applyFill="1" applyBorder="1" applyAlignment="1">
      <alignment horizontal="left" vertical="center" wrapText="1"/>
    </xf>
    <xf numFmtId="0" fontId="5" fillId="13" borderId="6" xfId="0" applyNumberFormat="1" applyFont="1" applyFill="1" applyBorder="1" applyAlignment="1">
      <alignment horizontal="left" vertical="center" wrapText="1"/>
    </xf>
    <xf numFmtId="0" fontId="5" fillId="13" borderId="1" xfId="0" applyNumberFormat="1" applyFont="1" applyFill="1" applyBorder="1" applyAlignment="1">
      <alignment horizontal="left" vertical="center" wrapText="1"/>
    </xf>
    <xf numFmtId="0" fontId="5" fillId="13" borderId="7" xfId="0" applyNumberFormat="1" applyFont="1" applyFill="1" applyBorder="1" applyAlignment="1">
      <alignment horizontal="left" vertical="center" wrapText="1"/>
    </xf>
    <xf numFmtId="0" fontId="5" fillId="13" borderId="8" xfId="0" applyNumberFormat="1" applyFont="1" applyFill="1" applyBorder="1" applyAlignment="1">
      <alignment horizontal="left" vertical="center" wrapText="1"/>
    </xf>
    <xf numFmtId="0" fontId="5" fillId="13" borderId="9" xfId="0" applyNumberFormat="1" applyFont="1" applyFill="1" applyBorder="1" applyAlignment="1">
      <alignment horizontal="left" vertical="center" wrapText="1"/>
    </xf>
    <xf numFmtId="0" fontId="44" fillId="9" borderId="5" xfId="0" applyNumberFormat="1" applyFont="1" applyFill="1" applyBorder="1" applyAlignment="1">
      <alignment horizontal="left" vertical="center" wrapText="1"/>
    </xf>
    <xf numFmtId="0" fontId="5" fillId="9" borderId="5" xfId="0" applyNumberFormat="1" applyFont="1" applyFill="1" applyBorder="1" applyAlignment="1">
      <alignment horizontal="left" vertical="center" wrapText="1"/>
    </xf>
    <xf numFmtId="0" fontId="5" fillId="9" borderId="6" xfId="0" applyNumberFormat="1" applyFont="1" applyFill="1" applyBorder="1" applyAlignment="1">
      <alignment horizontal="left" vertical="center" wrapText="1"/>
    </xf>
    <xf numFmtId="0" fontId="5" fillId="9" borderId="1" xfId="0" applyNumberFormat="1" applyFont="1" applyFill="1" applyBorder="1" applyAlignment="1">
      <alignment horizontal="left" vertical="center" wrapText="1"/>
    </xf>
    <xf numFmtId="0" fontId="5" fillId="9" borderId="7" xfId="0" applyNumberFormat="1" applyFont="1" applyFill="1" applyBorder="1" applyAlignment="1">
      <alignment horizontal="left" vertical="center" wrapText="1"/>
    </xf>
    <xf numFmtId="0" fontId="5" fillId="9" borderId="8" xfId="0" applyNumberFormat="1" applyFont="1" applyFill="1" applyBorder="1" applyAlignment="1">
      <alignment horizontal="left" vertical="center" wrapText="1"/>
    </xf>
    <xf numFmtId="0" fontId="5" fillId="9" borderId="9" xfId="0" applyNumberFormat="1" applyFont="1" applyFill="1" applyBorder="1" applyAlignment="1">
      <alignment horizontal="left" vertical="center" wrapText="1"/>
    </xf>
    <xf numFmtId="0" fontId="44" fillId="10" borderId="5" xfId="0" applyNumberFormat="1" applyFont="1" applyFill="1" applyBorder="1" applyAlignment="1">
      <alignment horizontal="left" vertical="center" wrapText="1"/>
    </xf>
    <xf numFmtId="0" fontId="5" fillId="10" borderId="5" xfId="0" applyNumberFormat="1" applyFont="1" applyFill="1" applyBorder="1" applyAlignment="1">
      <alignment horizontal="left" vertical="center" wrapText="1"/>
    </xf>
    <xf numFmtId="0" fontId="5" fillId="10" borderId="6" xfId="0" applyNumberFormat="1" applyFont="1" applyFill="1" applyBorder="1" applyAlignment="1">
      <alignment horizontal="left" vertical="center" wrapText="1"/>
    </xf>
    <xf numFmtId="0" fontId="5" fillId="10" borderId="1" xfId="0" applyNumberFormat="1" applyFont="1" applyFill="1" applyBorder="1" applyAlignment="1">
      <alignment horizontal="left" vertical="center" wrapText="1"/>
    </xf>
    <xf numFmtId="0" fontId="5" fillId="10" borderId="7" xfId="0" applyNumberFormat="1" applyFont="1" applyFill="1" applyBorder="1" applyAlignment="1">
      <alignment horizontal="left" vertical="center" wrapText="1"/>
    </xf>
    <xf numFmtId="0" fontId="5" fillId="10" borderId="8" xfId="0" applyNumberFormat="1" applyFont="1" applyFill="1" applyBorder="1" applyAlignment="1">
      <alignment horizontal="left" vertical="center" wrapText="1"/>
    </xf>
    <xf numFmtId="0" fontId="5" fillId="10" borderId="9" xfId="0" applyNumberFormat="1" applyFont="1" applyFill="1" applyBorder="1" applyAlignment="1">
      <alignment horizontal="left" vertical="center" wrapText="1"/>
    </xf>
    <xf numFmtId="0" fontId="39" fillId="4" borderId="1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4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9" fillId="3" borderId="0" xfId="0" applyNumberFormat="1" applyFont="1" applyFill="1" applyBorder="1" applyAlignment="1">
      <alignment horizontal="left" vertical="center"/>
    </xf>
    <xf numFmtId="0" fontId="30" fillId="3" borderId="0" xfId="0" applyNumberFormat="1" applyFont="1" applyFill="1" applyBorder="1" applyAlignment="1">
      <alignment horizontal="left" vertical="center"/>
    </xf>
    <xf numFmtId="0" fontId="7" fillId="3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B7B7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e1b8c2cb60024c3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Progress</a:t>
            </a:r>
          </a:p>
        </c:rich>
      </c:tx>
      <c:layout>
        <c:manualLayout>
          <c:xMode val="edge"/>
          <c:yMode val="edge"/>
          <c:x val="0.26514327191543086"/>
          <c:y val="2.0942411610313415E-2"/>
        </c:manualLayout>
      </c:layout>
      <c:overlay val="1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91677628923778"/>
          <c:y val="0.23069075189130775"/>
          <c:w val="0.6606963103548994"/>
          <c:h val="0.79047619047619044"/>
        </c:manualLayout>
      </c:layout>
      <c:doughnutChart>
        <c:varyColors val="1"/>
        <c:ser>
          <c:idx val="0"/>
          <c:order val="0"/>
          <c:spPr>
            <a:ln w="3175"/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C548-450B-B16D-FAB3E2F01D95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48-450B-B16D-FAB3E2F01D95}"/>
              </c:ext>
            </c:extLst>
          </c:dPt>
          <c:cat>
            <c:strRef>
              <c:f>Config!$B$3:$C$3</c:f>
              <c:strCache>
                <c:ptCount val="2"/>
                <c:pt idx="0">
                  <c:v>Complete</c:v>
                </c:pt>
                <c:pt idx="1">
                  <c:v>Pending</c:v>
                </c:pt>
              </c:strCache>
            </c:strRef>
          </c:cat>
          <c:val>
            <c:numRef>
              <c:f>Config!$B$4:$C$4</c:f>
              <c:numCache>
                <c:formatCode>General</c:formatCode>
                <c:ptCount val="2"/>
                <c:pt idx="0">
                  <c:v>6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8-450B-B16D-FAB3E2F01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Warnings</a:t>
            </a:r>
          </a:p>
        </c:rich>
      </c:tx>
      <c:layout>
        <c:manualLayout>
          <c:xMode val="edge"/>
          <c:yMode val="edge"/>
          <c:x val="0.26514327191543086"/>
          <c:y val="2.0942411610313415E-2"/>
        </c:manualLayout>
      </c:layout>
      <c:overlay val="1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91677628923778"/>
          <c:y val="0.23069075189130775"/>
          <c:w val="0.6606963103548994"/>
          <c:h val="0.79047619047619044"/>
        </c:manualLayout>
      </c:layout>
      <c:doughnutChart>
        <c:varyColors val="1"/>
        <c:ser>
          <c:idx val="0"/>
          <c:order val="0"/>
          <c:spPr>
            <a:ln w="3175"/>
          </c:spPr>
          <c:dPt>
            <c:idx val="0"/>
            <c:bubble3D val="0"/>
            <c:spPr>
              <a:solidFill>
                <a:srgbClr val="FFC000"/>
              </a:solidFill>
              <a:ln w="3175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EDED-4682-B82F-93C3D3585301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D-4682-B82F-93C3D3585301}"/>
              </c:ext>
            </c:extLst>
          </c:dPt>
          <c:cat>
            <c:strRef>
              <c:f>Config!$B$5:$C$5</c:f>
              <c:strCache>
                <c:ptCount val="2"/>
                <c:pt idx="0">
                  <c:v>Warning</c:v>
                </c:pt>
                <c:pt idx="1">
                  <c:v>No Warning</c:v>
                </c:pt>
              </c:strCache>
            </c:strRef>
          </c:cat>
          <c:val>
            <c:numRef>
              <c:f>Config!$B$6:$C$6</c:f>
              <c:numCache>
                <c:formatCode>General</c:formatCode>
                <c:ptCount val="2"/>
                <c:pt idx="0">
                  <c:v>1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D-4682-B82F-93C3D358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Failure Rate</a:t>
            </a:r>
          </a:p>
        </c:rich>
      </c:tx>
      <c:layout>
        <c:manualLayout>
          <c:xMode val="edge"/>
          <c:yMode val="edge"/>
          <c:x val="0.23314540787918389"/>
          <c:y val="3.662868612011734E-2"/>
        </c:manualLayout>
      </c:layout>
      <c:overlay val="1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91677628923778"/>
          <c:y val="0.23069075189130775"/>
          <c:w val="0.6606963103548994"/>
          <c:h val="0.79047619047619044"/>
        </c:manualLayout>
      </c:layout>
      <c:doughnutChart>
        <c:varyColors val="1"/>
        <c:ser>
          <c:idx val="0"/>
          <c:order val="0"/>
          <c:spPr>
            <a:ln w="3175"/>
          </c:spPr>
          <c:dPt>
            <c:idx val="0"/>
            <c:bubble3D val="0"/>
            <c:spPr>
              <a:solidFill>
                <a:srgbClr val="C00000"/>
              </a:solidFill>
              <a:ln w="3175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EDED-4682-B82F-93C3D3585301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D-4682-B82F-93C3D3585301}"/>
              </c:ext>
            </c:extLst>
          </c:dPt>
          <c:cat>
            <c:strRef>
              <c:f>Config!$B$7:$C$7</c:f>
              <c:strCache>
                <c:ptCount val="2"/>
                <c:pt idx="0">
                  <c:v>Fails</c:v>
                </c:pt>
                <c:pt idx="1">
                  <c:v>Non Fails</c:v>
                </c:pt>
              </c:strCache>
            </c:strRef>
          </c:cat>
          <c:val>
            <c:numRef>
              <c:f>Config!$B$8:$C$8</c:f>
              <c:numCache>
                <c:formatCode>General</c:formatCode>
                <c:ptCount val="2"/>
                <c:pt idx="0">
                  <c:v>1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D-4682-B82F-93C3D3585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Report Status Mix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973753280839897E-2"/>
          <c:y val="0.14878371782474559"/>
          <c:w val="0.94102624671916013"/>
          <c:h val="0.69191030068609849"/>
        </c:manualLayout>
      </c:layout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'Report Inventory'!$Q$5:$Q$8</c:f>
              <c:strCache>
                <c:ptCount val="4"/>
                <c:pt idx="0">
                  <c:v>Success</c:v>
                </c:pt>
                <c:pt idx="1">
                  <c:v>Failed</c:v>
                </c:pt>
                <c:pt idx="2">
                  <c:v>Warning</c:v>
                </c:pt>
                <c:pt idx="3">
                  <c:v>Not Run</c:v>
                </c:pt>
              </c:strCache>
            </c:strRef>
          </c:cat>
          <c:val>
            <c:numRef>
              <c:f>'Report Inventory'!$R$5:$R$8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78B-A254-EB97A2514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28576</xdr:rowOff>
    </xdr:from>
    <xdr:to>
      <xdr:col>1</xdr:col>
      <xdr:colOff>1143000</xdr:colOff>
      <xdr:row>33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7D68E8C-FD6D-4923-8482-DB27707565BB}"/>
            </a:ext>
          </a:extLst>
        </xdr:cNvPr>
        <xdr:cNvSpPr/>
      </xdr:nvSpPr>
      <xdr:spPr>
        <a:xfrm>
          <a:off x="276225" y="5724526"/>
          <a:ext cx="1123950" cy="600074"/>
        </a:xfrm>
        <a:prstGeom prst="roundRect">
          <a:avLst/>
        </a:prstGeom>
        <a:solidFill>
          <a:srgbClr val="C0000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🗑</a:t>
          </a:r>
        </a:p>
      </xdr:txBody>
    </xdr:sp>
    <xdr:clientData/>
  </xdr:twoCellAnchor>
  <xdr:twoCellAnchor>
    <xdr:from>
      <xdr:col>1</xdr:col>
      <xdr:colOff>19050</xdr:colOff>
      <xdr:row>27</xdr:row>
      <xdr:rowOff>38100</xdr:rowOff>
    </xdr:from>
    <xdr:to>
      <xdr:col>1</xdr:col>
      <xdr:colOff>1143000</xdr:colOff>
      <xdr:row>29</xdr:row>
      <xdr:rowOff>200025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AD18324-306F-49C1-95EA-BD62E071E700}"/>
            </a:ext>
          </a:extLst>
        </xdr:cNvPr>
        <xdr:cNvSpPr/>
      </xdr:nvSpPr>
      <xdr:spPr>
        <a:xfrm>
          <a:off x="276225" y="5105400"/>
          <a:ext cx="1123950" cy="58102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↻</a:t>
          </a:r>
        </a:p>
      </xdr:txBody>
    </xdr:sp>
    <xdr:clientData/>
  </xdr:twoCellAnchor>
  <xdr:twoCellAnchor>
    <xdr:from>
      <xdr:col>1</xdr:col>
      <xdr:colOff>19050</xdr:colOff>
      <xdr:row>24</xdr:row>
      <xdr:rowOff>38100</xdr:rowOff>
    </xdr:from>
    <xdr:to>
      <xdr:col>1</xdr:col>
      <xdr:colOff>1133475</xdr:colOff>
      <xdr:row>26</xdr:row>
      <xdr:rowOff>200025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EA16372-0373-4BB1-9A4D-839F716FED2E}"/>
            </a:ext>
          </a:extLst>
        </xdr:cNvPr>
        <xdr:cNvSpPr/>
      </xdr:nvSpPr>
      <xdr:spPr>
        <a:xfrm>
          <a:off x="276225" y="4476750"/>
          <a:ext cx="1114425" cy="58102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▣</a:t>
          </a:r>
        </a:p>
      </xdr:txBody>
    </xdr:sp>
    <xdr:clientData/>
  </xdr:twoCellAnchor>
  <xdr:twoCellAnchor>
    <xdr:from>
      <xdr:col>1</xdr:col>
      <xdr:colOff>19050</xdr:colOff>
      <xdr:row>21</xdr:row>
      <xdr:rowOff>57151</xdr:rowOff>
    </xdr:from>
    <xdr:to>
      <xdr:col>1</xdr:col>
      <xdr:colOff>1133475</xdr:colOff>
      <xdr:row>24</xdr:row>
      <xdr:rowOff>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FBD6C97-224A-4AD8-9641-B8C4FB539853}"/>
            </a:ext>
          </a:extLst>
        </xdr:cNvPr>
        <xdr:cNvSpPr/>
      </xdr:nvSpPr>
      <xdr:spPr>
        <a:xfrm>
          <a:off x="276225" y="3867151"/>
          <a:ext cx="1114425" cy="571500"/>
        </a:xfrm>
        <a:prstGeom prst="roundRect">
          <a:avLst/>
        </a:prstGeom>
        <a:solidFill>
          <a:srgbClr val="7030A0"/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⇩</a:t>
          </a:r>
        </a:p>
      </xdr:txBody>
    </xdr:sp>
    <xdr:clientData/>
  </xdr:twoCellAnchor>
  <xdr:twoCellAnchor>
    <xdr:from>
      <xdr:col>1</xdr:col>
      <xdr:colOff>19051</xdr:colOff>
      <xdr:row>18</xdr:row>
      <xdr:rowOff>57150</xdr:rowOff>
    </xdr:from>
    <xdr:to>
      <xdr:col>1</xdr:col>
      <xdr:colOff>1123951</xdr:colOff>
      <xdr:row>21</xdr:row>
      <xdr:rowOff>28575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FDABF26-AFF6-4EAE-8346-76A254262B61}"/>
            </a:ext>
          </a:extLst>
        </xdr:cNvPr>
        <xdr:cNvSpPr/>
      </xdr:nvSpPr>
      <xdr:spPr>
        <a:xfrm>
          <a:off x="276226" y="3238500"/>
          <a:ext cx="1104900" cy="60007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☑</a:t>
          </a:r>
        </a:p>
      </xdr:txBody>
    </xdr:sp>
    <xdr:clientData/>
  </xdr:twoCellAnchor>
  <xdr:twoCellAnchor>
    <xdr:from>
      <xdr:col>1</xdr:col>
      <xdr:colOff>47625</xdr:colOff>
      <xdr:row>15</xdr:row>
      <xdr:rowOff>19051</xdr:rowOff>
    </xdr:from>
    <xdr:to>
      <xdr:col>1</xdr:col>
      <xdr:colOff>1133475</xdr:colOff>
      <xdr:row>18</xdr:row>
      <xdr:rowOff>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9E1E8BD-9261-4CF3-B0AA-7D78F7141FA0}"/>
            </a:ext>
          </a:extLst>
        </xdr:cNvPr>
        <xdr:cNvSpPr/>
      </xdr:nvSpPr>
      <xdr:spPr>
        <a:xfrm>
          <a:off x="304800" y="2571751"/>
          <a:ext cx="1085850" cy="6096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▶▶</a:t>
          </a:r>
        </a:p>
      </xdr:txBody>
    </xdr:sp>
    <xdr:clientData/>
  </xdr:twoCellAnchor>
  <xdr:twoCellAnchor>
    <xdr:from>
      <xdr:col>1</xdr:col>
      <xdr:colOff>47625</xdr:colOff>
      <xdr:row>12</xdr:row>
      <xdr:rowOff>38100</xdr:rowOff>
    </xdr:from>
    <xdr:to>
      <xdr:col>1</xdr:col>
      <xdr:colOff>1123950</xdr:colOff>
      <xdr:row>14</xdr:row>
      <xdr:rowOff>200025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097E9E8-1AF4-49FD-B90D-7179F55DE019}"/>
            </a:ext>
          </a:extLst>
        </xdr:cNvPr>
        <xdr:cNvSpPr/>
      </xdr:nvSpPr>
      <xdr:spPr>
        <a:xfrm>
          <a:off x="304800" y="1962150"/>
          <a:ext cx="1076325" cy="581025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3200">
              <a:solidFill>
                <a:schemeClr val="bg1"/>
              </a:solidFill>
            </a:rPr>
            <a:t>▶</a:t>
          </a:r>
        </a:p>
      </xdr:txBody>
    </xdr:sp>
    <xdr:clientData/>
  </xdr:twoCellAnchor>
  <xdr:twoCellAnchor editAs="oneCell">
    <xdr:from>
      <xdr:col>1</xdr:col>
      <xdr:colOff>1</xdr:colOff>
      <xdr:row>0</xdr:row>
      <xdr:rowOff>0</xdr:rowOff>
    </xdr:from>
    <xdr:to>
      <xdr:col>3</xdr:col>
      <xdr:colOff>581026</xdr:colOff>
      <xdr:row>4</xdr:row>
      <xdr:rowOff>200024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E6737F3-8462-6514-4334-F7793D610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0"/>
          <a:ext cx="2438400" cy="128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785813</xdr:colOff>
      <xdr:row>18</xdr:row>
      <xdr:rowOff>152400</xdr:rowOff>
    </xdr:from>
    <xdr:to>
      <xdr:col>20</xdr:col>
      <xdr:colOff>152400</xdr:colOff>
      <xdr:row>26</xdr:row>
      <xdr:rowOff>95250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EBCFBA9E-BE97-C8C4-60B5-A12CF0FB5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781051</xdr:colOff>
      <xdr:row>26</xdr:row>
      <xdr:rowOff>57150</xdr:rowOff>
    </xdr:from>
    <xdr:to>
      <xdr:col>20</xdr:col>
      <xdr:colOff>147638</xdr:colOff>
      <xdr:row>34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82A4840-9AFF-44CB-9FFD-6E68730F2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800101</xdr:colOff>
      <xdr:row>33</xdr:row>
      <xdr:rowOff>171450</xdr:rowOff>
    </xdr:from>
    <xdr:to>
      <xdr:col>20</xdr:col>
      <xdr:colOff>166688</xdr:colOff>
      <xdr:row>41</xdr:row>
      <xdr:rowOff>142875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55F63E9-CBAA-AE73-D062-F8F7BCD33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161925</xdr:colOff>
      <xdr:row>29</xdr:row>
      <xdr:rowOff>200026</xdr:rowOff>
    </xdr:from>
    <xdr:to>
      <xdr:col>19</xdr:col>
      <xdr:colOff>647700</xdr:colOff>
      <xdr:row>31</xdr:row>
      <xdr:rowOff>180975</xdr:rowOff>
    </xdr:to>
    <xdr:sp macro="" textlink="#REF!">
      <xdr:nvSpPr>
        <xdr:cNvPr id="48" name="TextBox 47">
          <a:extLst>
            <a:ext uri="{FF2B5EF4-FFF2-40B4-BE49-F238E27FC236}">
              <a16:creationId xmlns:a16="http://schemas.microsoft.com/office/drawing/2014/main" id="{E8CE1BAB-3EF2-036E-3ACE-28B933E104F3}"/>
            </a:ext>
          </a:extLst>
        </xdr:cNvPr>
        <xdr:cNvSpPr txBox="1"/>
      </xdr:nvSpPr>
      <xdr:spPr>
        <a:xfrm>
          <a:off x="14944725" y="6781801"/>
          <a:ext cx="485775" cy="40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F7A794-626D-4B55-93C3-D0132D080FB0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4%</a:t>
          </a:fld>
          <a:endParaRPr lang="en-GB" sz="1400" b="1"/>
        </a:p>
      </xdr:txBody>
    </xdr:sp>
    <xdr:clientData/>
  </xdr:twoCellAnchor>
  <xdr:twoCellAnchor>
    <xdr:from>
      <xdr:col>19</xdr:col>
      <xdr:colOff>180975</xdr:colOff>
      <xdr:row>37</xdr:row>
      <xdr:rowOff>133351</xdr:rowOff>
    </xdr:from>
    <xdr:to>
      <xdr:col>19</xdr:col>
      <xdr:colOff>666750</xdr:colOff>
      <xdr:row>39</xdr:row>
      <xdr:rowOff>114300</xdr:rowOff>
    </xdr:to>
    <xdr:sp macro="" textlink="#REF!">
      <xdr:nvSpPr>
        <xdr:cNvPr id="51" name="TextBox 50">
          <a:extLst>
            <a:ext uri="{FF2B5EF4-FFF2-40B4-BE49-F238E27FC236}">
              <a16:creationId xmlns:a16="http://schemas.microsoft.com/office/drawing/2014/main" id="{7B66FAE7-B90A-41CC-A605-CD0CC00D9B8B}"/>
            </a:ext>
          </a:extLst>
        </xdr:cNvPr>
        <xdr:cNvSpPr txBox="1"/>
      </xdr:nvSpPr>
      <xdr:spPr>
        <a:xfrm>
          <a:off x="14963775" y="8362951"/>
          <a:ext cx="485775" cy="40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BE82A-59D4-410B-BA2B-D7B73F1C7E77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4%</a:t>
          </a:fld>
          <a:endParaRPr lang="en-GB" sz="2400" b="1"/>
        </a:p>
      </xdr:txBody>
    </xdr:sp>
    <xdr:clientData/>
  </xdr:twoCellAnchor>
  <xdr:twoCellAnchor>
    <xdr:from>
      <xdr:col>19</xdr:col>
      <xdr:colOff>161926</xdr:colOff>
      <xdr:row>22</xdr:row>
      <xdr:rowOff>85726</xdr:rowOff>
    </xdr:from>
    <xdr:to>
      <xdr:col>19</xdr:col>
      <xdr:colOff>657226</xdr:colOff>
      <xdr:row>24</xdr:row>
      <xdr:rowOff>66675</xdr:rowOff>
    </xdr:to>
    <xdr:sp macro="" textlink="#REF!">
      <xdr:nvSpPr>
        <xdr:cNvPr id="52" name="TextBox 51">
          <a:extLst>
            <a:ext uri="{FF2B5EF4-FFF2-40B4-BE49-F238E27FC236}">
              <a16:creationId xmlns:a16="http://schemas.microsoft.com/office/drawing/2014/main" id="{33E1C29F-3818-4726-8CB1-57A682D534E3}"/>
            </a:ext>
          </a:extLst>
        </xdr:cNvPr>
        <xdr:cNvSpPr txBox="1"/>
      </xdr:nvSpPr>
      <xdr:spPr>
        <a:xfrm>
          <a:off x="14944726" y="5200651"/>
          <a:ext cx="495300" cy="40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9FE654B-F5D0-479E-AAF7-8159D74AE59B}" type="TxLink">
            <a:rPr lang="en-US" sz="1400" b="1" i="0" u="none" strike="noStrike">
              <a:solidFill>
                <a:srgbClr val="000000"/>
              </a:solidFill>
              <a:latin typeface="Carlito"/>
            </a:rPr>
            <a:pPr algn="ctr"/>
            <a:t>24%</a:t>
          </a:fld>
          <a:endParaRPr lang="en-GB" sz="1400" b="1"/>
        </a:p>
      </xdr:txBody>
    </xdr:sp>
    <xdr:clientData/>
  </xdr:twoCellAnchor>
  <xdr:twoCellAnchor>
    <xdr:from>
      <xdr:col>1</xdr:col>
      <xdr:colOff>47625</xdr:colOff>
      <xdr:row>11</xdr:row>
      <xdr:rowOff>123824</xdr:rowOff>
    </xdr:from>
    <xdr:to>
      <xdr:col>4</xdr:col>
      <xdr:colOff>676275</xdr:colOff>
      <xdr:row>11</xdr:row>
      <xdr:rowOff>428625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54BEAFFD-2110-DFD7-5351-B015A1447B27}"/>
            </a:ext>
          </a:extLst>
        </xdr:cNvPr>
        <xdr:cNvSpPr/>
      </xdr:nvSpPr>
      <xdr:spPr>
        <a:xfrm>
          <a:off x="304800" y="2676524"/>
          <a:ext cx="3171825" cy="30480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solidFill>
                <a:schemeClr val="bg1"/>
              </a:solidFill>
            </a:rPr>
            <a:t>Log in to</a:t>
          </a:r>
          <a:r>
            <a:rPr lang="en-GB" sz="1600" b="1" baseline="0">
              <a:solidFill>
                <a:schemeClr val="bg1"/>
              </a:solidFill>
            </a:rPr>
            <a:t> AFO</a:t>
          </a:r>
          <a:endParaRPr lang="en-GB" sz="32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133350</xdr:colOff>
      <xdr:row>4</xdr:row>
      <xdr:rowOff>38100</xdr:rowOff>
    </xdr:from>
    <xdr:to>
      <xdr:col>21</xdr:col>
      <xdr:colOff>1133475</xdr:colOff>
      <xdr:row>19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ports" displayName="tblReports" ref="A4:O16">
  <autoFilter ref="A4:O16" xr:uid="{00000000-0009-0000-0100-000001000000}"/>
  <tableColumns count="15">
    <tableColumn id="1" xr3:uid="{00000000-0010-0000-0000-000001000000}" name="ReportID"/>
    <tableColumn id="2" xr3:uid="{00000000-0010-0000-0000-000002000000}" name="ReportName"/>
    <tableColumn id="3" xr3:uid="{00000000-0010-0000-0000-000003000000}" name="BusinessArea"/>
    <tableColumn id="4" xr3:uid="{00000000-0010-0000-0000-000004000000}" name="WorkbookPath"/>
    <tableColumn id="5" xr3:uid="{00000000-0010-0000-0000-000005000000}" name="WorksheetName"/>
    <tableColumn id="6" xr3:uid="{00000000-0010-0000-0000-000006000000}" name="DataSourceAlias"/>
    <tableColumn id="7" xr3:uid="{00000000-0010-0000-0000-000007000000}" name="Variant"/>
    <tableColumn id="8" xr3:uid="{00000000-0010-0000-0000-000008000000}" name="IsActive"/>
    <tableColumn id="9" xr3:uid="{00000000-0010-0000-0000-000009000000}" name="RunOrder"/>
    <tableColumn id="10" xr3:uid="{00000000-0010-0000-0000-00000A000000}" name="OutputFormats"/>
    <tableColumn id="11" xr3:uid="{00000000-0010-0000-0000-00000B000000}" name="LastRefresh"/>
    <tableColumn id="12" xr3:uid="{00000000-0010-0000-0000-00000C000000}" name="Status"/>
    <tableColumn id="13" xr3:uid="{00000000-0010-0000-0000-00000D000000}" name="DurationSeconds"/>
    <tableColumn id="14" xr3:uid="{00000000-0010-0000-0000-00000E000000}" name="LastError"/>
    <tableColumn id="15" xr3:uid="{00000000-0010-0000-0000-00000F000000}" name="ExportFol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rameters" displayName="tblParameters" ref="A4:G12">
  <autoFilter ref="A4:G12" xr:uid="{00000000-0009-0000-0100-000002000000}"/>
  <tableColumns count="7">
    <tableColumn id="1" xr3:uid="{00000000-0010-0000-0100-000001000000}" name="ParameterName"/>
    <tableColumn id="2" xr3:uid="{00000000-0010-0000-0100-000002000000}" name="DisplayName"/>
    <tableColumn id="3" xr3:uid="{00000000-0010-0000-0100-000003000000}" name="CurrentValue"/>
    <tableColumn id="4" xr3:uid="{00000000-0010-0000-0100-000004000000}" name="DefaultValue"/>
    <tableColumn id="5" xr3:uid="{00000000-0010-0000-0100-000005000000}" name="AllowedValues"/>
    <tableColumn id="6" xr3:uid="{00000000-0010-0000-0100-000006000000}" name="IsRequired"/>
    <tableColumn id="7" xr3:uid="{00000000-0010-0000-0100-000007000000}" name="Descrip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mptMapping" displayName="tblPromptMapping" ref="A4:F68">
  <autoFilter ref="A4:F68" xr:uid="{00000000-0009-0000-0100-000003000000}"/>
  <tableColumns count="6">
    <tableColumn id="1" xr3:uid="{00000000-0010-0000-0200-000001000000}" name="ReportID"/>
    <tableColumn id="2" xr3:uid="{00000000-0010-0000-0200-000002000000}" name="ParameterName"/>
    <tableColumn id="3" xr3:uid="{00000000-0010-0000-0200-000003000000}" name="AfoVariableName"/>
    <tableColumn id="4" xr3:uid="{00000000-0010-0000-0200-000004000000}" name="ApplyToDataSource"/>
    <tableColumn id="5" xr3:uid="{00000000-0010-0000-0200-000005000000}" name="IsRequired"/>
    <tableColumn id="6" xr3:uid="{00000000-0010-0000-0200-000006000000}" name="Default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unLog" displayName="tblRunLog" ref="A4:H19">
  <autoFilter ref="A4:H19" xr:uid="{00000000-0009-0000-0100-000004000000}"/>
  <tableColumns count="8">
    <tableColumn id="1" xr3:uid="{00000000-0010-0000-0300-000001000000}" name="LogID"/>
    <tableColumn id="2" xr3:uid="{00000000-0010-0000-0300-000002000000}" name="Timestamp"/>
    <tableColumn id="3" xr3:uid="{00000000-0010-0000-0300-000003000000}" name="Level"/>
    <tableColumn id="4" xr3:uid="{00000000-0010-0000-0300-000004000000}" name="Procedure"/>
    <tableColumn id="5" xr3:uid="{00000000-0010-0000-0300-000005000000}" name="ReportID"/>
    <tableColumn id="6" xr3:uid="{00000000-0010-0000-0300-000006000000}" name="ReportName"/>
    <tableColumn id="7" xr3:uid="{00000000-0010-0000-0300-000007000000}" name="Message"/>
    <tableColumn id="8" xr3:uid="{00000000-0010-0000-0300-000008000000}" name="Details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ExportHistory" displayName="tblExportHistory" ref="A4:H14">
  <autoFilter ref="A4:H14" xr:uid="{00000000-0009-0000-0100-000005000000}"/>
  <tableColumns count="8">
    <tableColumn id="1" xr3:uid="{00000000-0010-0000-0400-000001000000}" name="ExportID"/>
    <tableColumn id="2" xr3:uid="{00000000-0010-0000-0400-000002000000}" name="Timestamp"/>
    <tableColumn id="3" xr3:uid="{00000000-0010-0000-0400-000003000000}" name="ReportID"/>
    <tableColumn id="4" xr3:uid="{00000000-0010-0000-0400-000004000000}" name="ReportName"/>
    <tableColumn id="5" xr3:uid="{00000000-0010-0000-0400-000005000000}" name="OutputFormat"/>
    <tableColumn id="6" xr3:uid="{00000000-0010-0000-0400-000006000000}" name="OutputPath"/>
    <tableColumn id="7" xr3:uid="{00000000-0010-0000-0400-000007000000}" name="Status"/>
    <tableColumn id="8" xr3:uid="{00000000-0010-0000-0400-000008000000}" name="ErrorMessag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ettings" displayName="tblSettings" ref="A4:C16">
  <autoFilter ref="A4:C16" xr:uid="{00000000-0009-0000-0100-000006000000}"/>
  <tableColumns count="3">
    <tableColumn id="1" xr3:uid="{00000000-0010-0000-0500-000001000000}" name="SettingName"/>
    <tableColumn id="2" xr3:uid="{00000000-0010-0000-0500-000002000000}" name="SettingValue"/>
    <tableColumn id="3" xr3:uid="{00000000-0010-0000-0500-000003000000}" name="Descrip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51"/>
  <sheetViews>
    <sheetView showGridLines="0" tabSelected="1" workbookViewId="0">
      <selection activeCell="W39" sqref="I39:W42"/>
    </sheetView>
  </sheetViews>
  <sheetFormatPr defaultRowHeight="14.25"/>
  <cols>
    <col min="1" max="1" width="3.375" customWidth="1"/>
    <col min="2" max="2" width="15.375" customWidth="1"/>
    <col min="3" max="5" width="9" customWidth="1"/>
    <col min="6" max="6" width="1.25" customWidth="1"/>
    <col min="7" max="18" width="10.25" customWidth="1"/>
    <col min="19" max="19" width="3.25" customWidth="1"/>
    <col min="20" max="20" width="12.625" customWidth="1"/>
    <col min="21" max="21" width="14.375" customWidth="1"/>
    <col min="22" max="22" width="11" customWidth="1"/>
    <col min="23" max="23" width="21" customWidth="1"/>
    <col min="25" max="25" width="10" customWidth="1"/>
    <col min="30" max="30" width="15" bestFit="1" customWidth="1"/>
  </cols>
  <sheetData>
    <row r="1" spans="2:26" ht="36" customHeight="1">
      <c r="B1" s="143"/>
      <c r="C1" s="144"/>
      <c r="D1" s="144"/>
      <c r="E1" s="46" t="s">
        <v>382</v>
      </c>
      <c r="F1" s="41"/>
      <c r="G1" s="41"/>
      <c r="H1" s="41"/>
      <c r="I1" s="41"/>
      <c r="J1" s="41"/>
      <c r="K1" s="41"/>
      <c r="L1" s="41"/>
      <c r="M1" s="41"/>
      <c r="N1" s="50"/>
      <c r="O1" s="53"/>
      <c r="P1" s="53"/>
      <c r="Q1" s="53"/>
      <c r="R1" s="50"/>
      <c r="T1" s="71" t="s">
        <v>122</v>
      </c>
      <c r="U1" s="72" t="s">
        <v>122</v>
      </c>
      <c r="V1" s="72" t="s">
        <v>122</v>
      </c>
      <c r="W1" s="73" t="s">
        <v>122</v>
      </c>
      <c r="X1" s="1"/>
      <c r="Y1" s="20" t="s">
        <v>184</v>
      </c>
      <c r="Z1" s="1"/>
    </row>
    <row r="2" spans="2:26" ht="16.5" customHeight="1">
      <c r="B2" s="144"/>
      <c r="C2" s="144"/>
      <c r="D2" s="144"/>
      <c r="E2" s="41"/>
      <c r="F2" s="41"/>
      <c r="G2" s="41"/>
      <c r="H2" s="41"/>
      <c r="I2" s="41"/>
      <c r="J2" s="41"/>
      <c r="K2" s="41"/>
      <c r="L2" s="41"/>
      <c r="M2" s="41"/>
      <c r="N2" s="50"/>
      <c r="O2" s="54" t="str">
        <f ca="1">TEXT(TODAY(),"DD MMM YYYY")</f>
        <v>09 Jul 2026</v>
      </c>
      <c r="P2" s="54"/>
      <c r="Q2" s="54"/>
      <c r="R2" s="50"/>
      <c r="T2" s="74" t="s">
        <v>137</v>
      </c>
      <c r="U2" s="74" t="s">
        <v>137</v>
      </c>
      <c r="V2" s="2"/>
      <c r="W2" s="51">
        <f>Config!D4</f>
        <v>0.24</v>
      </c>
      <c r="X2" s="1"/>
      <c r="Y2" s="20" t="s">
        <v>182</v>
      </c>
      <c r="Z2" s="1"/>
    </row>
    <row r="3" spans="2:26" ht="16.5" customHeight="1">
      <c r="B3" s="144"/>
      <c r="C3" s="144"/>
      <c r="D3" s="144"/>
      <c r="E3" s="56" t="s">
        <v>1</v>
      </c>
      <c r="F3" s="56"/>
      <c r="G3" s="56"/>
      <c r="H3" s="56"/>
      <c r="I3" s="56"/>
      <c r="J3" s="56"/>
      <c r="K3" s="56"/>
      <c r="L3" s="56"/>
      <c r="M3" s="56"/>
      <c r="N3" s="50"/>
      <c r="O3" s="55" t="str">
        <f ca="1">TEXT(NOW(),"HH:MM")</f>
        <v>23:50</v>
      </c>
      <c r="P3" s="55"/>
      <c r="Q3" s="55"/>
      <c r="R3" s="50"/>
      <c r="T3" s="17"/>
      <c r="U3" s="18"/>
      <c r="V3" s="19"/>
      <c r="W3" s="16"/>
      <c r="X3" s="1"/>
      <c r="Y3" s="20" t="s">
        <v>180</v>
      </c>
      <c r="Z3" s="21" t="s">
        <v>181</v>
      </c>
    </row>
    <row r="4" spans="2:26" ht="16.5" customHeight="1">
      <c r="B4" s="144"/>
      <c r="C4" s="144"/>
      <c r="D4" s="144"/>
      <c r="E4" s="56"/>
      <c r="F4" s="56"/>
      <c r="G4" s="56"/>
      <c r="H4" s="56"/>
      <c r="I4" s="56"/>
      <c r="J4" s="56"/>
      <c r="K4" s="56"/>
      <c r="L4" s="56"/>
      <c r="M4" s="56"/>
      <c r="N4" s="50"/>
      <c r="O4" s="50"/>
      <c r="P4" s="50"/>
      <c r="Q4" s="50"/>
      <c r="R4" s="50"/>
      <c r="T4" s="74" t="s">
        <v>162</v>
      </c>
      <c r="U4" s="74" t="s">
        <v>162</v>
      </c>
      <c r="V4" s="75" t="s">
        <v>163</v>
      </c>
      <c r="W4" s="75" t="s">
        <v>163</v>
      </c>
      <c r="X4" s="1"/>
      <c r="Y4" s="20" t="s">
        <v>185</v>
      </c>
      <c r="Z4" s="20" t="s">
        <v>186</v>
      </c>
    </row>
    <row r="5" spans="2:26" ht="16.5" customHeight="1">
      <c r="B5" s="144"/>
      <c r="C5" s="144"/>
      <c r="D5" s="144"/>
      <c r="E5" s="42"/>
      <c r="F5" s="42"/>
      <c r="G5" s="42"/>
      <c r="H5" s="42"/>
      <c r="I5" s="42"/>
      <c r="J5" s="42"/>
      <c r="K5" s="42"/>
      <c r="L5" s="42"/>
      <c r="M5" s="42"/>
      <c r="N5" s="50"/>
      <c r="O5" s="50"/>
      <c r="P5" s="50"/>
      <c r="Q5" s="50"/>
      <c r="R5" s="50"/>
      <c r="T5" s="15" t="s">
        <v>175</v>
      </c>
      <c r="U5" s="15" t="s">
        <v>176</v>
      </c>
      <c r="V5" s="15" t="s">
        <v>177</v>
      </c>
      <c r="W5" s="15" t="s">
        <v>178</v>
      </c>
      <c r="X5" s="1"/>
      <c r="Y5" s="1"/>
      <c r="Z5" s="1"/>
    </row>
    <row r="6" spans="2:26" ht="16.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T6" s="1"/>
      <c r="U6" s="1"/>
      <c r="V6" s="1"/>
      <c r="W6" s="1"/>
      <c r="X6" s="1"/>
      <c r="Y6" s="1"/>
      <c r="Z6" s="1"/>
    </row>
    <row r="7" spans="2:26" ht="16.5" customHeight="1">
      <c r="B7" s="71" t="s">
        <v>2</v>
      </c>
      <c r="C7" s="72" t="s">
        <v>2</v>
      </c>
      <c r="D7" s="72" t="s">
        <v>2</v>
      </c>
      <c r="E7" s="73" t="s">
        <v>2</v>
      </c>
      <c r="F7" s="1"/>
      <c r="G7" s="71" t="s">
        <v>3</v>
      </c>
      <c r="H7" s="72" t="s">
        <v>3</v>
      </c>
      <c r="I7" s="72" t="s">
        <v>3</v>
      </c>
      <c r="J7" s="72" t="s">
        <v>3</v>
      </c>
      <c r="K7" s="72" t="s">
        <v>3</v>
      </c>
      <c r="L7" s="72" t="s">
        <v>3</v>
      </c>
      <c r="M7" s="72" t="s">
        <v>3</v>
      </c>
      <c r="N7" s="72" t="s">
        <v>3</v>
      </c>
      <c r="O7" s="72" t="s">
        <v>3</v>
      </c>
      <c r="P7" s="72" t="s">
        <v>3</v>
      </c>
      <c r="Q7" s="72" t="s">
        <v>3</v>
      </c>
      <c r="R7" s="73" t="s">
        <v>3</v>
      </c>
      <c r="S7" s="1"/>
      <c r="T7" s="71" t="s">
        <v>121</v>
      </c>
      <c r="U7" s="72" t="s">
        <v>121</v>
      </c>
      <c r="V7" s="72" t="s">
        <v>121</v>
      </c>
      <c r="W7" s="72" t="s">
        <v>121</v>
      </c>
      <c r="X7" s="72" t="s">
        <v>121</v>
      </c>
      <c r="Y7" s="72" t="s">
        <v>121</v>
      </c>
      <c r="Z7" s="73" t="s">
        <v>121</v>
      </c>
    </row>
    <row r="8" spans="2:26" ht="16.5" customHeight="1">
      <c r="B8" s="48"/>
      <c r="C8" s="48"/>
      <c r="D8" s="48"/>
      <c r="E8" s="48"/>
      <c r="F8" s="1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1"/>
      <c r="T8" s="48"/>
      <c r="U8" s="48"/>
      <c r="V8" s="48"/>
      <c r="W8" s="48"/>
      <c r="X8" s="48"/>
      <c r="Y8" s="48"/>
      <c r="Z8" s="48"/>
    </row>
    <row r="9" spans="2:26" ht="16.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2:26" ht="16.5" customHeight="1">
      <c r="B10" s="49" t="s">
        <v>389</v>
      </c>
      <c r="C10" s="52" t="s">
        <v>391</v>
      </c>
      <c r="D10" s="52"/>
      <c r="E10" s="1"/>
      <c r="F10" s="1"/>
      <c r="G10" s="76" t="s">
        <v>5</v>
      </c>
      <c r="H10" s="76" t="s">
        <v>5</v>
      </c>
      <c r="I10" s="79" t="s">
        <v>6</v>
      </c>
      <c r="J10" s="79" t="s">
        <v>6</v>
      </c>
      <c r="K10" s="82" t="s">
        <v>7</v>
      </c>
      <c r="L10" s="82" t="s">
        <v>7</v>
      </c>
      <c r="M10" s="85" t="s">
        <v>8</v>
      </c>
      <c r="N10" s="85" t="s">
        <v>8</v>
      </c>
      <c r="O10" s="76" t="s">
        <v>9</v>
      </c>
      <c r="P10" s="76" t="s">
        <v>9</v>
      </c>
      <c r="Q10" s="137" t="s">
        <v>10</v>
      </c>
      <c r="R10" s="137" t="s">
        <v>10</v>
      </c>
      <c r="S10" s="1"/>
      <c r="T10" s="3" t="s">
        <v>127</v>
      </c>
      <c r="U10" s="3" t="s">
        <v>128</v>
      </c>
      <c r="V10" s="3" t="s">
        <v>129</v>
      </c>
      <c r="W10" s="3" t="s">
        <v>118</v>
      </c>
      <c r="X10" s="3" t="s">
        <v>119</v>
      </c>
      <c r="Y10" s="3"/>
      <c r="Z10" s="3"/>
    </row>
    <row r="11" spans="2:26" ht="16.5" customHeight="1">
      <c r="B11" s="49" t="s">
        <v>390</v>
      </c>
      <c r="C11" s="52"/>
      <c r="D11" s="52"/>
      <c r="E11" s="1"/>
      <c r="F11" s="1"/>
      <c r="G11" s="77">
        <f>COUNTA(Q49:Q89)</f>
        <v>0</v>
      </c>
      <c r="H11" s="77" t="s">
        <v>16</v>
      </c>
      <c r="I11" s="80">
        <f>COUNTIF('Report Inventory'!$L$5:$L$16,"Success")</f>
        <v>6</v>
      </c>
      <c r="J11" s="80" t="s">
        <v>17</v>
      </c>
      <c r="K11" s="83">
        <f>COUNTIF('Report Inventory'!$L$5:$L$16,"Failed")</f>
        <v>1</v>
      </c>
      <c r="L11" s="83" t="s">
        <v>18</v>
      </c>
      <c r="M11" s="86">
        <f>COUNTIF('Report Inventory'!$L$5:$L$16,"Warning")</f>
        <v>1</v>
      </c>
      <c r="N11" s="86" t="s">
        <v>19</v>
      </c>
      <c r="O11" s="77">
        <f>SUM(R18:R31)</f>
        <v>892</v>
      </c>
      <c r="P11" s="77" t="s">
        <v>20</v>
      </c>
      <c r="Q11" s="138">
        <f>COUNTA('Export History'!$A$5:$A$104)</f>
        <v>10</v>
      </c>
      <c r="R11" s="138" t="s">
        <v>21</v>
      </c>
      <c r="S11" s="1"/>
      <c r="T11" s="4" t="s">
        <v>134</v>
      </c>
      <c r="U11" s="4" t="s">
        <v>135</v>
      </c>
      <c r="V11" s="4" t="s">
        <v>136</v>
      </c>
      <c r="W11" s="4" t="s">
        <v>125</v>
      </c>
      <c r="X11" s="5" t="s">
        <v>6</v>
      </c>
      <c r="Y11" s="4"/>
      <c r="Z11" s="4"/>
    </row>
    <row r="12" spans="2:26" ht="36.75" customHeight="1">
      <c r="B12" s="1"/>
      <c r="C12" s="1"/>
      <c r="D12" s="1"/>
      <c r="E12" s="1"/>
      <c r="F12" s="1"/>
      <c r="G12" s="77" t="s">
        <v>16</v>
      </c>
      <c r="H12" s="77" t="s">
        <v>16</v>
      </c>
      <c r="I12" s="80" t="s">
        <v>17</v>
      </c>
      <c r="J12" s="80" t="s">
        <v>17</v>
      </c>
      <c r="K12" s="83" t="s">
        <v>18</v>
      </c>
      <c r="L12" s="83" t="s">
        <v>18</v>
      </c>
      <c r="M12" s="86" t="s">
        <v>19</v>
      </c>
      <c r="N12" s="86" t="s">
        <v>19</v>
      </c>
      <c r="O12" s="77" t="s">
        <v>20</v>
      </c>
      <c r="P12" s="77" t="s">
        <v>20</v>
      </c>
      <c r="Q12" s="138" t="s">
        <v>21</v>
      </c>
      <c r="R12" s="138" t="s">
        <v>21</v>
      </c>
      <c r="S12" s="1"/>
      <c r="T12" s="4" t="s">
        <v>143</v>
      </c>
      <c r="U12" s="4" t="s">
        <v>144</v>
      </c>
      <c r="V12" s="4" t="s">
        <v>136</v>
      </c>
      <c r="W12" s="4" t="s">
        <v>133</v>
      </c>
      <c r="X12" s="5" t="s">
        <v>6</v>
      </c>
      <c r="Y12" s="4"/>
      <c r="Z12" s="4"/>
    </row>
    <row r="13" spans="2:26" ht="16.5" customHeight="1">
      <c r="B13" s="40"/>
      <c r="C13" s="123" t="s">
        <v>344</v>
      </c>
      <c r="D13" s="124" t="s">
        <v>15</v>
      </c>
      <c r="E13" s="125" t="s">
        <v>15</v>
      </c>
      <c r="F13" s="1"/>
      <c r="G13" s="78" t="s">
        <v>28</v>
      </c>
      <c r="H13" s="78" t="s">
        <v>28</v>
      </c>
      <c r="I13" s="81" t="s">
        <v>29</v>
      </c>
      <c r="J13" s="81" t="s">
        <v>29</v>
      </c>
      <c r="K13" s="84" t="s">
        <v>30</v>
      </c>
      <c r="L13" s="84" t="s">
        <v>30</v>
      </c>
      <c r="M13" s="87" t="s">
        <v>31</v>
      </c>
      <c r="N13" s="87" t="s">
        <v>31</v>
      </c>
      <c r="O13" s="78" t="s">
        <v>32</v>
      </c>
      <c r="P13" s="78" t="s">
        <v>32</v>
      </c>
      <c r="Q13" s="139" t="s">
        <v>33</v>
      </c>
      <c r="R13" s="139" t="s">
        <v>33</v>
      </c>
      <c r="S13" s="1"/>
      <c r="T13" s="4" t="s">
        <v>149</v>
      </c>
      <c r="U13" s="4" t="s">
        <v>150</v>
      </c>
      <c r="V13" s="4" t="s">
        <v>136</v>
      </c>
      <c r="W13" s="4" t="s">
        <v>142</v>
      </c>
      <c r="X13" s="5" t="s">
        <v>6</v>
      </c>
      <c r="Y13" s="4"/>
      <c r="Z13" s="4"/>
    </row>
    <row r="14" spans="2:26" ht="16.5" customHeight="1">
      <c r="B14" s="40"/>
      <c r="C14" s="126" t="s">
        <v>15</v>
      </c>
      <c r="D14" s="126" t="s">
        <v>15</v>
      </c>
      <c r="E14" s="127" t="s">
        <v>15</v>
      </c>
      <c r="F14" s="1"/>
      <c r="G14" s="78" t="s">
        <v>28</v>
      </c>
      <c r="H14" s="78" t="s">
        <v>28</v>
      </c>
      <c r="I14" s="81" t="s">
        <v>29</v>
      </c>
      <c r="J14" s="81" t="s">
        <v>29</v>
      </c>
      <c r="K14" s="84" t="s">
        <v>30</v>
      </c>
      <c r="L14" s="84" t="s">
        <v>30</v>
      </c>
      <c r="M14" s="87" t="s">
        <v>31</v>
      </c>
      <c r="N14" s="87" t="s">
        <v>31</v>
      </c>
      <c r="O14" s="78" t="s">
        <v>32</v>
      </c>
      <c r="P14" s="78" t="s">
        <v>32</v>
      </c>
      <c r="Q14" s="139" t="s">
        <v>33</v>
      </c>
      <c r="R14" s="139" t="s">
        <v>33</v>
      </c>
      <c r="S14" s="1"/>
      <c r="T14" s="4" t="s">
        <v>147</v>
      </c>
      <c r="U14" s="4" t="s">
        <v>154</v>
      </c>
      <c r="V14" s="4" t="s">
        <v>136</v>
      </c>
      <c r="W14" s="4" t="s">
        <v>148</v>
      </c>
      <c r="X14" s="5" t="s">
        <v>6</v>
      </c>
      <c r="Y14" s="4"/>
      <c r="Z14" s="4"/>
    </row>
    <row r="15" spans="2:26" ht="16.5" customHeight="1">
      <c r="B15" s="40"/>
      <c r="C15" s="128" t="s">
        <v>15</v>
      </c>
      <c r="D15" s="128" t="s">
        <v>15</v>
      </c>
      <c r="E15" s="129" t="s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 t="s">
        <v>157</v>
      </c>
      <c r="U15" s="4" t="s">
        <v>158</v>
      </c>
      <c r="V15" s="4" t="s">
        <v>136</v>
      </c>
      <c r="W15" s="4" t="s">
        <v>74</v>
      </c>
      <c r="X15" s="5" t="s">
        <v>104</v>
      </c>
      <c r="Y15" s="4"/>
      <c r="Z15" s="4"/>
    </row>
    <row r="16" spans="2:26" ht="16.5" customHeight="1">
      <c r="B16" s="40"/>
      <c r="C16" s="130" t="s">
        <v>345</v>
      </c>
      <c r="D16" s="131" t="s">
        <v>36</v>
      </c>
      <c r="E16" s="132" t="s">
        <v>36</v>
      </c>
      <c r="F16" s="1"/>
      <c r="G16" s="140" t="s">
        <v>4</v>
      </c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2"/>
      <c r="S16" s="1"/>
      <c r="T16" s="4" t="s">
        <v>156</v>
      </c>
      <c r="U16" s="4" t="s">
        <v>161</v>
      </c>
      <c r="V16" s="4" t="s">
        <v>136</v>
      </c>
      <c r="W16" s="4" t="s">
        <v>74</v>
      </c>
      <c r="X16" s="5" t="s">
        <v>104</v>
      </c>
      <c r="Y16" s="4"/>
      <c r="Z16" s="4"/>
    </row>
    <row r="17" spans="2:26" ht="16.5" customHeight="1">
      <c r="B17" s="40"/>
      <c r="C17" s="133" t="s">
        <v>36</v>
      </c>
      <c r="D17" s="133" t="s">
        <v>36</v>
      </c>
      <c r="E17" s="134" t="s">
        <v>36</v>
      </c>
      <c r="F17" s="1"/>
      <c r="G17" s="3" t="s">
        <v>44</v>
      </c>
      <c r="H17" s="3" t="s">
        <v>13</v>
      </c>
      <c r="I17" s="3" t="s">
        <v>45</v>
      </c>
      <c r="J17" s="3" t="s">
        <v>46</v>
      </c>
      <c r="K17" s="43" t="s">
        <v>47</v>
      </c>
      <c r="L17" s="3" t="s">
        <v>48</v>
      </c>
      <c r="M17" s="3" t="s">
        <v>49</v>
      </c>
      <c r="N17" s="57" t="s">
        <v>349</v>
      </c>
      <c r="O17" s="58"/>
      <c r="P17" s="3" t="s">
        <v>50</v>
      </c>
      <c r="Q17" s="3" t="s">
        <v>51</v>
      </c>
      <c r="R17" s="3" t="s">
        <v>52</v>
      </c>
      <c r="S17" s="1"/>
      <c r="T17" s="4" t="s">
        <v>167</v>
      </c>
      <c r="U17" s="4" t="s">
        <v>168</v>
      </c>
      <c r="V17" s="4" t="s">
        <v>136</v>
      </c>
      <c r="W17" s="4" t="s">
        <v>74</v>
      </c>
      <c r="X17" s="5" t="s">
        <v>104</v>
      </c>
      <c r="Y17" s="4"/>
      <c r="Z17" s="4"/>
    </row>
    <row r="18" spans="2:26" ht="16.5" customHeight="1">
      <c r="B18" s="40"/>
      <c r="C18" s="135" t="s">
        <v>36</v>
      </c>
      <c r="D18" s="135" t="s">
        <v>36</v>
      </c>
      <c r="E18" s="136" t="s">
        <v>36</v>
      </c>
      <c r="F18" s="1"/>
      <c r="G18" s="4">
        <v>1</v>
      </c>
      <c r="H18" s="8" t="s">
        <v>24</v>
      </c>
      <c r="I18" s="4" t="s">
        <v>55</v>
      </c>
      <c r="J18" s="4" t="s">
        <v>56</v>
      </c>
      <c r="K18" s="4" t="s">
        <v>57</v>
      </c>
      <c r="L18" s="7" t="s">
        <v>58</v>
      </c>
      <c r="M18" s="5">
        <v>1</v>
      </c>
      <c r="N18" s="44" t="s">
        <v>350</v>
      </c>
      <c r="O18" s="45"/>
      <c r="P18" s="4" t="s">
        <v>59</v>
      </c>
      <c r="Q18" s="7" t="s">
        <v>60</v>
      </c>
      <c r="R18" s="5">
        <v>98</v>
      </c>
      <c r="S18" s="1"/>
      <c r="T18" s="4" t="s">
        <v>171</v>
      </c>
      <c r="U18" s="4" t="s">
        <v>172</v>
      </c>
      <c r="V18" s="4" t="s">
        <v>136</v>
      </c>
      <c r="W18" s="4" t="s">
        <v>74</v>
      </c>
      <c r="X18" s="5" t="s">
        <v>104</v>
      </c>
      <c r="Y18" s="4"/>
      <c r="Z18" s="4"/>
    </row>
    <row r="19" spans="2:26" ht="16.5" customHeight="1">
      <c r="B19" s="40"/>
      <c r="C19" s="102" t="s">
        <v>346</v>
      </c>
      <c r="D19" s="103" t="s">
        <v>43</v>
      </c>
      <c r="E19" s="104" t="s">
        <v>43</v>
      </c>
      <c r="F19" s="1"/>
      <c r="G19" s="4">
        <v>2</v>
      </c>
      <c r="H19" s="8" t="s">
        <v>42</v>
      </c>
      <c r="I19" s="4" t="s">
        <v>62</v>
      </c>
      <c r="J19" s="4" t="s">
        <v>56</v>
      </c>
      <c r="K19" s="4" t="s">
        <v>63</v>
      </c>
      <c r="L19" s="7" t="s">
        <v>58</v>
      </c>
      <c r="M19" s="5">
        <v>2</v>
      </c>
      <c r="N19" s="44" t="s">
        <v>350</v>
      </c>
      <c r="O19" s="45"/>
      <c r="P19" s="4" t="s">
        <v>64</v>
      </c>
      <c r="Q19" s="7" t="s">
        <v>60</v>
      </c>
      <c r="R19" s="5">
        <v>76</v>
      </c>
      <c r="S19" s="1"/>
      <c r="T19" s="1"/>
      <c r="U19" s="1"/>
      <c r="V19" s="1"/>
      <c r="W19" s="1"/>
      <c r="X19" s="1"/>
      <c r="Y19" s="1"/>
      <c r="Z19" s="1"/>
    </row>
    <row r="20" spans="2:26" ht="16.5" customHeight="1">
      <c r="B20" s="40"/>
      <c r="C20" s="105" t="s">
        <v>43</v>
      </c>
      <c r="D20" s="105" t="s">
        <v>43</v>
      </c>
      <c r="E20" s="106" t="s">
        <v>43</v>
      </c>
      <c r="F20" s="1"/>
      <c r="G20" s="4">
        <v>3</v>
      </c>
      <c r="H20" s="8" t="s">
        <v>66</v>
      </c>
      <c r="I20" s="4" t="s">
        <v>68</v>
      </c>
      <c r="J20" s="4" t="s">
        <v>56</v>
      </c>
      <c r="K20" s="4" t="s">
        <v>63</v>
      </c>
      <c r="L20" s="7" t="s">
        <v>58</v>
      </c>
      <c r="M20" s="5">
        <v>3</v>
      </c>
      <c r="N20" s="44" t="s">
        <v>350</v>
      </c>
      <c r="O20" s="45"/>
      <c r="P20" s="4" t="s">
        <v>69</v>
      </c>
      <c r="Q20" s="7" t="s">
        <v>60</v>
      </c>
      <c r="R20" s="5">
        <v>64</v>
      </c>
      <c r="S20" s="1"/>
      <c r="T20" s="1"/>
      <c r="U20" s="71" t="s">
        <v>123</v>
      </c>
      <c r="V20" s="72" t="s">
        <v>123</v>
      </c>
      <c r="W20" s="72" t="s">
        <v>123</v>
      </c>
      <c r="X20" s="73" t="s">
        <v>123</v>
      </c>
      <c r="Z20" s="1"/>
    </row>
    <row r="21" spans="2:26" ht="16.5" customHeight="1">
      <c r="B21" s="40"/>
      <c r="C21" s="107" t="s">
        <v>43</v>
      </c>
      <c r="D21" s="107" t="s">
        <v>43</v>
      </c>
      <c r="E21" s="108" t="s">
        <v>43</v>
      </c>
      <c r="F21" s="1"/>
      <c r="G21" s="4">
        <v>4</v>
      </c>
      <c r="H21" s="8" t="s">
        <v>71</v>
      </c>
      <c r="I21" s="4" t="s">
        <v>72</v>
      </c>
      <c r="J21" s="4" t="s">
        <v>73</v>
      </c>
      <c r="K21" s="4" t="s">
        <v>74</v>
      </c>
      <c r="L21" s="7" t="s">
        <v>58</v>
      </c>
      <c r="M21" s="5">
        <v>4</v>
      </c>
      <c r="N21" s="44" t="s">
        <v>350</v>
      </c>
      <c r="O21" s="45"/>
      <c r="P21" s="4" t="s">
        <v>75</v>
      </c>
      <c r="Q21" s="11" t="s">
        <v>30</v>
      </c>
      <c r="R21" s="5">
        <v>45</v>
      </c>
      <c r="S21" s="1"/>
      <c r="T21" s="1"/>
      <c r="U21" s="3" t="s">
        <v>11</v>
      </c>
      <c r="V21" s="3" t="s">
        <v>13</v>
      </c>
      <c r="W21" s="3" t="s">
        <v>130</v>
      </c>
      <c r="X21" s="3" t="s">
        <v>131</v>
      </c>
      <c r="Z21" s="1"/>
    </row>
    <row r="22" spans="2:26" ht="16.5" customHeight="1">
      <c r="B22" s="40"/>
      <c r="C22" s="109" t="s">
        <v>347</v>
      </c>
      <c r="D22" s="110" t="s">
        <v>67</v>
      </c>
      <c r="E22" s="111" t="s">
        <v>67</v>
      </c>
      <c r="F22" s="1"/>
      <c r="G22" s="4">
        <v>5</v>
      </c>
      <c r="H22" s="8" t="s">
        <v>80</v>
      </c>
      <c r="I22" s="4" t="s">
        <v>81</v>
      </c>
      <c r="J22" s="4" t="s">
        <v>73</v>
      </c>
      <c r="K22" s="4" t="s">
        <v>74</v>
      </c>
      <c r="L22" s="7" t="s">
        <v>58</v>
      </c>
      <c r="M22" s="5">
        <v>5</v>
      </c>
      <c r="N22" s="44" t="s">
        <v>350</v>
      </c>
      <c r="O22" s="45"/>
      <c r="P22" s="4" t="s">
        <v>82</v>
      </c>
      <c r="Q22" s="7" t="s">
        <v>60</v>
      </c>
      <c r="R22" s="5">
        <v>82</v>
      </c>
      <c r="S22" s="1"/>
      <c r="T22" s="1"/>
      <c r="U22" s="4" t="s">
        <v>138</v>
      </c>
      <c r="V22" s="4" t="s">
        <v>24</v>
      </c>
      <c r="W22" s="4" t="s">
        <v>139</v>
      </c>
      <c r="X22" s="9" t="s">
        <v>140</v>
      </c>
      <c r="Z22" s="1"/>
    </row>
    <row r="23" spans="2:26" ht="16.5" customHeight="1">
      <c r="B23" s="40"/>
      <c r="C23" s="112" t="s">
        <v>67</v>
      </c>
      <c r="D23" s="112" t="s">
        <v>67</v>
      </c>
      <c r="E23" s="113" t="s">
        <v>67</v>
      </c>
      <c r="F23" s="1"/>
      <c r="G23" s="4">
        <v>6</v>
      </c>
      <c r="H23" s="8" t="s">
        <v>78</v>
      </c>
      <c r="I23" s="4" t="s">
        <v>87</v>
      </c>
      <c r="J23" s="4" t="s">
        <v>88</v>
      </c>
      <c r="K23" s="4" t="s">
        <v>74</v>
      </c>
      <c r="L23" s="7" t="s">
        <v>58</v>
      </c>
      <c r="M23" s="5">
        <v>6</v>
      </c>
      <c r="N23" s="44" t="s">
        <v>350</v>
      </c>
      <c r="O23" s="45"/>
      <c r="P23" s="4" t="s">
        <v>89</v>
      </c>
      <c r="Q23" s="13" t="s">
        <v>90</v>
      </c>
      <c r="R23" s="5">
        <v>53</v>
      </c>
      <c r="S23" s="1"/>
      <c r="T23" s="1"/>
      <c r="U23" s="4" t="s">
        <v>138</v>
      </c>
      <c r="V23" s="4" t="s">
        <v>24</v>
      </c>
      <c r="W23" s="4" t="s">
        <v>145</v>
      </c>
      <c r="X23" s="9" t="s">
        <v>146</v>
      </c>
      <c r="Z23" s="1"/>
    </row>
    <row r="24" spans="2:26" ht="16.5" customHeight="1">
      <c r="B24" s="40"/>
      <c r="C24" s="114" t="s">
        <v>67</v>
      </c>
      <c r="D24" s="114" t="s">
        <v>67</v>
      </c>
      <c r="E24" s="115" t="s">
        <v>67</v>
      </c>
      <c r="F24" s="1"/>
      <c r="G24" s="4">
        <v>7</v>
      </c>
      <c r="H24" s="8" t="s">
        <v>92</v>
      </c>
      <c r="I24" s="4" t="s">
        <v>93</v>
      </c>
      <c r="J24" s="4" t="s">
        <v>94</v>
      </c>
      <c r="K24" s="4" t="s">
        <v>74</v>
      </c>
      <c r="L24" s="7" t="s">
        <v>58</v>
      </c>
      <c r="M24" s="5">
        <v>7</v>
      </c>
      <c r="N24" s="44" t="s">
        <v>350</v>
      </c>
      <c r="O24" s="45"/>
      <c r="P24" s="4" t="s">
        <v>95</v>
      </c>
      <c r="Q24" s="7" t="s">
        <v>60</v>
      </c>
      <c r="R24" s="5">
        <v>47</v>
      </c>
      <c r="S24" s="1"/>
      <c r="T24" s="1"/>
      <c r="U24" s="4" t="s">
        <v>138</v>
      </c>
      <c r="V24" s="4" t="s">
        <v>42</v>
      </c>
      <c r="W24" s="4" t="s">
        <v>139</v>
      </c>
      <c r="X24" s="9" t="s">
        <v>151</v>
      </c>
      <c r="Z24" s="1"/>
    </row>
    <row r="25" spans="2:26" ht="16.5" customHeight="1">
      <c r="B25" s="40"/>
      <c r="C25" s="116" t="s">
        <v>348</v>
      </c>
      <c r="D25" s="117" t="s">
        <v>86</v>
      </c>
      <c r="E25" s="118" t="s">
        <v>86</v>
      </c>
      <c r="F25" s="1"/>
      <c r="G25" s="4">
        <v>8</v>
      </c>
      <c r="H25" s="8" t="s">
        <v>97</v>
      </c>
      <c r="I25" s="4" t="s">
        <v>98</v>
      </c>
      <c r="J25" s="4" t="s">
        <v>56</v>
      </c>
      <c r="K25" s="4" t="s">
        <v>74</v>
      </c>
      <c r="L25" s="7" t="s">
        <v>58</v>
      </c>
      <c r="M25" s="5">
        <v>8</v>
      </c>
      <c r="N25" s="44" t="s">
        <v>350</v>
      </c>
      <c r="O25" s="45"/>
      <c r="P25" s="4" t="s">
        <v>99</v>
      </c>
      <c r="Q25" s="7" t="s">
        <v>60</v>
      </c>
      <c r="R25" s="5">
        <v>61</v>
      </c>
      <c r="S25" s="1"/>
      <c r="T25" s="1"/>
      <c r="U25" s="4" t="s">
        <v>138</v>
      </c>
      <c r="V25" s="4" t="s">
        <v>42</v>
      </c>
      <c r="W25" s="4" t="s">
        <v>145</v>
      </c>
      <c r="X25" s="9" t="s">
        <v>155</v>
      </c>
      <c r="Z25" s="1"/>
    </row>
    <row r="26" spans="2:26" ht="16.5" customHeight="1">
      <c r="B26" s="40"/>
      <c r="C26" s="119" t="s">
        <v>86</v>
      </c>
      <c r="D26" s="119" t="s">
        <v>86</v>
      </c>
      <c r="E26" s="120" t="s">
        <v>86</v>
      </c>
      <c r="F26" s="1"/>
      <c r="G26" s="4">
        <v>9</v>
      </c>
      <c r="H26" s="8" t="s">
        <v>102</v>
      </c>
      <c r="I26" s="4" t="s">
        <v>103</v>
      </c>
      <c r="J26" s="4" t="s">
        <v>56</v>
      </c>
      <c r="K26" s="4" t="s">
        <v>74</v>
      </c>
      <c r="L26" s="7" t="s">
        <v>104</v>
      </c>
      <c r="M26" s="5">
        <v>9</v>
      </c>
      <c r="N26" s="44" t="s">
        <v>350</v>
      </c>
      <c r="O26" s="45"/>
      <c r="P26" s="4" t="s">
        <v>365</v>
      </c>
      <c r="Q26" s="14" t="s">
        <v>105</v>
      </c>
      <c r="R26" s="5">
        <v>61</v>
      </c>
      <c r="S26" s="1"/>
      <c r="T26" s="1"/>
      <c r="U26" s="4" t="s">
        <v>138</v>
      </c>
      <c r="V26" s="4" t="s">
        <v>66</v>
      </c>
      <c r="W26" s="4" t="s">
        <v>139</v>
      </c>
      <c r="X26" s="9" t="s">
        <v>159</v>
      </c>
      <c r="Z26" s="1"/>
    </row>
    <row r="27" spans="2:26" ht="16.5" customHeight="1">
      <c r="B27" s="40"/>
      <c r="C27" s="121" t="s">
        <v>86</v>
      </c>
      <c r="D27" s="121" t="s">
        <v>86</v>
      </c>
      <c r="E27" s="122" t="s">
        <v>86</v>
      </c>
      <c r="F27" s="1"/>
      <c r="G27" s="4">
        <v>10</v>
      </c>
      <c r="H27" s="8" t="s">
        <v>106</v>
      </c>
      <c r="I27" s="4" t="s">
        <v>107</v>
      </c>
      <c r="J27" s="4" t="s">
        <v>56</v>
      </c>
      <c r="K27" s="4" t="s">
        <v>74</v>
      </c>
      <c r="L27" s="7" t="s">
        <v>104</v>
      </c>
      <c r="M27" s="5">
        <v>10</v>
      </c>
      <c r="N27" s="44" t="s">
        <v>350</v>
      </c>
      <c r="O27" s="45"/>
      <c r="P27" s="4" t="s">
        <v>366</v>
      </c>
      <c r="Q27" s="14" t="s">
        <v>105</v>
      </c>
      <c r="R27" s="5">
        <v>61</v>
      </c>
      <c r="S27" s="1"/>
      <c r="T27" s="1"/>
      <c r="U27" s="4" t="s">
        <v>138</v>
      </c>
      <c r="V27" s="4" t="s">
        <v>66</v>
      </c>
      <c r="W27" s="4" t="s">
        <v>164</v>
      </c>
      <c r="X27" s="9" t="s">
        <v>165</v>
      </c>
      <c r="Z27" s="1"/>
    </row>
    <row r="28" spans="2:26" ht="16.5" customHeight="1">
      <c r="B28" s="40"/>
      <c r="C28" s="88" t="s">
        <v>342</v>
      </c>
      <c r="D28" s="89" t="s">
        <v>101</v>
      </c>
      <c r="E28" s="90" t="s">
        <v>101</v>
      </c>
      <c r="F28" s="1"/>
      <c r="G28" s="4">
        <v>11</v>
      </c>
      <c r="H28" s="8" t="s">
        <v>108</v>
      </c>
      <c r="I28" s="4" t="s">
        <v>109</v>
      </c>
      <c r="J28" s="4" t="s">
        <v>110</v>
      </c>
      <c r="K28" s="4" t="s">
        <v>74</v>
      </c>
      <c r="L28" s="7" t="s">
        <v>104</v>
      </c>
      <c r="M28" s="5">
        <v>11</v>
      </c>
      <c r="N28" s="44" t="s">
        <v>350</v>
      </c>
      <c r="O28" s="45"/>
      <c r="P28" s="4" t="s">
        <v>367</v>
      </c>
      <c r="Q28" s="14" t="s">
        <v>105</v>
      </c>
      <c r="R28" s="5">
        <v>61</v>
      </c>
      <c r="S28" s="1"/>
      <c r="T28" s="1"/>
      <c r="U28" s="4" t="s">
        <v>169</v>
      </c>
      <c r="V28" s="4" t="s">
        <v>71</v>
      </c>
      <c r="W28" s="4" t="s">
        <v>139</v>
      </c>
      <c r="X28" s="10" t="s">
        <v>170</v>
      </c>
      <c r="Z28" s="1"/>
    </row>
    <row r="29" spans="2:26" ht="16.5" customHeight="1">
      <c r="B29" s="40"/>
      <c r="C29" s="91" t="s">
        <v>101</v>
      </c>
      <c r="D29" s="91" t="s">
        <v>101</v>
      </c>
      <c r="E29" s="92" t="s">
        <v>101</v>
      </c>
      <c r="F29" s="1"/>
      <c r="G29" s="4">
        <v>12</v>
      </c>
      <c r="H29" s="8" t="s">
        <v>113</v>
      </c>
      <c r="I29" s="4" t="s">
        <v>114</v>
      </c>
      <c r="J29" s="4" t="s">
        <v>115</v>
      </c>
      <c r="K29" s="4" t="s">
        <v>74</v>
      </c>
      <c r="L29" s="7" t="s">
        <v>104</v>
      </c>
      <c r="M29" s="5">
        <v>12</v>
      </c>
      <c r="N29" s="44" t="s">
        <v>350</v>
      </c>
      <c r="O29" s="45"/>
      <c r="P29" s="4" t="s">
        <v>368</v>
      </c>
      <c r="Q29" s="14" t="s">
        <v>105</v>
      </c>
      <c r="R29" s="5">
        <v>61</v>
      </c>
      <c r="S29" s="1"/>
      <c r="T29" s="1"/>
      <c r="U29" s="4" t="s">
        <v>169</v>
      </c>
      <c r="V29" s="4" t="s">
        <v>80</v>
      </c>
      <c r="W29" s="4" t="s">
        <v>139</v>
      </c>
      <c r="X29" s="9" t="s">
        <v>173</v>
      </c>
      <c r="Z29" s="1"/>
    </row>
    <row r="30" spans="2:26" ht="16.5" customHeight="1">
      <c r="B30" s="40"/>
      <c r="C30" s="93" t="s">
        <v>101</v>
      </c>
      <c r="D30" s="93" t="s">
        <v>101</v>
      </c>
      <c r="E30" s="94" t="s">
        <v>101</v>
      </c>
      <c r="F30" s="1"/>
      <c r="G30" s="4">
        <v>12</v>
      </c>
      <c r="H30" s="8" t="s">
        <v>352</v>
      </c>
      <c r="I30" s="4" t="s">
        <v>114</v>
      </c>
      <c r="J30" s="4" t="s">
        <v>115</v>
      </c>
      <c r="K30" s="4" t="s">
        <v>74</v>
      </c>
      <c r="L30" s="7" t="s">
        <v>104</v>
      </c>
      <c r="M30" s="5">
        <v>13</v>
      </c>
      <c r="N30" s="44" t="s">
        <v>350</v>
      </c>
      <c r="O30" s="45"/>
      <c r="P30" s="4" t="s">
        <v>369</v>
      </c>
      <c r="Q30" s="14" t="s">
        <v>105</v>
      </c>
      <c r="R30" s="5">
        <v>61</v>
      </c>
      <c r="S30" s="1"/>
      <c r="T30" s="1"/>
      <c r="U30" s="4" t="s">
        <v>169</v>
      </c>
      <c r="V30" s="4" t="s">
        <v>80</v>
      </c>
      <c r="W30" s="4" t="s">
        <v>145</v>
      </c>
      <c r="X30" s="9" t="s">
        <v>174</v>
      </c>
      <c r="Z30" s="1"/>
    </row>
    <row r="31" spans="2:26" ht="16.5" customHeight="1">
      <c r="B31" s="40"/>
      <c r="C31" s="95" t="s">
        <v>343</v>
      </c>
      <c r="D31" s="96" t="s">
        <v>112</v>
      </c>
      <c r="E31" s="97" t="s">
        <v>112</v>
      </c>
      <c r="F31" s="1"/>
      <c r="G31" s="4">
        <v>12</v>
      </c>
      <c r="H31" s="8" t="s">
        <v>353</v>
      </c>
      <c r="I31" s="4" t="s">
        <v>114</v>
      </c>
      <c r="J31" s="4" t="s">
        <v>115</v>
      </c>
      <c r="K31" s="4" t="s">
        <v>74</v>
      </c>
      <c r="L31" s="7" t="s">
        <v>104</v>
      </c>
      <c r="M31" s="5">
        <v>14</v>
      </c>
      <c r="N31" s="44" t="s">
        <v>350</v>
      </c>
      <c r="O31" s="45"/>
      <c r="P31" s="4" t="s">
        <v>370</v>
      </c>
      <c r="Q31" s="14" t="s">
        <v>105</v>
      </c>
      <c r="R31" s="5">
        <v>61</v>
      </c>
      <c r="S31" s="1"/>
      <c r="T31" s="1"/>
      <c r="U31" s="4" t="s">
        <v>169</v>
      </c>
      <c r="V31" s="4" t="s">
        <v>78</v>
      </c>
      <c r="W31" s="4" t="s">
        <v>139</v>
      </c>
      <c r="X31" s="12" t="s">
        <v>179</v>
      </c>
      <c r="Z31" s="1"/>
    </row>
    <row r="32" spans="2:26" ht="16.5" customHeight="1">
      <c r="B32" s="40"/>
      <c r="C32" s="98" t="s">
        <v>112</v>
      </c>
      <c r="D32" s="98" t="s">
        <v>112</v>
      </c>
      <c r="E32" s="99" t="s">
        <v>112</v>
      </c>
      <c r="F32" s="1"/>
      <c r="G32" s="4">
        <v>12</v>
      </c>
      <c r="H32" s="8" t="s">
        <v>354</v>
      </c>
      <c r="I32" s="4" t="s">
        <v>114</v>
      </c>
      <c r="J32" s="4" t="s">
        <v>115</v>
      </c>
      <c r="K32" s="4" t="s">
        <v>74</v>
      </c>
      <c r="L32" s="7" t="s">
        <v>104</v>
      </c>
      <c r="M32" s="5">
        <v>15</v>
      </c>
      <c r="N32" s="44" t="s">
        <v>350</v>
      </c>
      <c r="O32" s="45"/>
      <c r="P32" s="4" t="s">
        <v>371</v>
      </c>
      <c r="Q32" s="14" t="s">
        <v>105</v>
      </c>
      <c r="R32" s="5">
        <v>61</v>
      </c>
      <c r="S32" s="1"/>
      <c r="T32" s="1"/>
      <c r="U32" s="2"/>
      <c r="V32" s="2"/>
      <c r="W32" s="2"/>
      <c r="X32" s="2"/>
      <c r="Z32" s="1"/>
    </row>
    <row r="33" spans="2:26" ht="16.5" customHeight="1">
      <c r="B33" s="40"/>
      <c r="C33" s="100" t="s">
        <v>112</v>
      </c>
      <c r="D33" s="100" t="s">
        <v>112</v>
      </c>
      <c r="E33" s="101" t="s">
        <v>112</v>
      </c>
      <c r="F33" s="1"/>
      <c r="G33" s="4">
        <v>12</v>
      </c>
      <c r="H33" s="8" t="s">
        <v>355</v>
      </c>
      <c r="I33" s="4" t="s">
        <v>114</v>
      </c>
      <c r="J33" s="4" t="s">
        <v>115</v>
      </c>
      <c r="K33" s="4" t="s">
        <v>74</v>
      </c>
      <c r="L33" s="7" t="s">
        <v>104</v>
      </c>
      <c r="M33" s="5">
        <v>16</v>
      </c>
      <c r="N33" s="44" t="s">
        <v>350</v>
      </c>
      <c r="O33" s="45"/>
      <c r="P33" s="4" t="s">
        <v>372</v>
      </c>
      <c r="Q33" s="14" t="s">
        <v>105</v>
      </c>
      <c r="R33" s="5">
        <v>61</v>
      </c>
      <c r="S33" s="1"/>
      <c r="T33" s="1"/>
      <c r="U33" s="1"/>
      <c r="V33" s="1"/>
      <c r="W33" s="1"/>
      <c r="X33" s="1"/>
      <c r="Y33" s="1"/>
      <c r="Z33" s="1"/>
    </row>
    <row r="34" spans="2:26" ht="16.5" customHeight="1">
      <c r="B34" s="40"/>
      <c r="C34" s="40"/>
      <c r="D34" s="40"/>
      <c r="E34" s="40"/>
      <c r="F34" s="1"/>
      <c r="G34" s="4">
        <v>12</v>
      </c>
      <c r="H34" s="8" t="s">
        <v>356</v>
      </c>
      <c r="I34" s="4" t="s">
        <v>114</v>
      </c>
      <c r="J34" s="4" t="s">
        <v>115</v>
      </c>
      <c r="K34" s="4" t="s">
        <v>74</v>
      </c>
      <c r="L34" s="7" t="s">
        <v>104</v>
      </c>
      <c r="M34" s="5">
        <v>17</v>
      </c>
      <c r="N34" s="44" t="s">
        <v>350</v>
      </c>
      <c r="O34" s="45"/>
      <c r="P34" s="4" t="s">
        <v>373</v>
      </c>
      <c r="Q34" s="14" t="s">
        <v>105</v>
      </c>
      <c r="R34" s="5">
        <v>61</v>
      </c>
      <c r="S34" s="1"/>
      <c r="T34" s="1"/>
      <c r="U34" s="1"/>
      <c r="V34" s="59" t="s">
        <v>351</v>
      </c>
      <c r="W34" s="60"/>
      <c r="X34" s="61"/>
      <c r="Y34" s="68" t="s">
        <v>111</v>
      </c>
      <c r="Z34" s="1"/>
    </row>
    <row r="35" spans="2:26" ht="16.5" customHeight="1">
      <c r="B35" s="71" t="s">
        <v>116</v>
      </c>
      <c r="C35" s="72" t="s">
        <v>116</v>
      </c>
      <c r="D35" s="72" t="s">
        <v>116</v>
      </c>
      <c r="E35" s="73" t="s">
        <v>116</v>
      </c>
      <c r="F35" s="1"/>
      <c r="G35" s="4">
        <v>12</v>
      </c>
      <c r="H35" s="8" t="s">
        <v>357</v>
      </c>
      <c r="I35" s="4" t="s">
        <v>114</v>
      </c>
      <c r="J35" s="4" t="s">
        <v>115</v>
      </c>
      <c r="K35" s="4" t="s">
        <v>74</v>
      </c>
      <c r="L35" s="7" t="s">
        <v>104</v>
      </c>
      <c r="M35" s="5">
        <v>18</v>
      </c>
      <c r="N35" s="44" t="s">
        <v>350</v>
      </c>
      <c r="O35" s="45"/>
      <c r="P35" s="4" t="s">
        <v>374</v>
      </c>
      <c r="Q35" s="14" t="s">
        <v>105</v>
      </c>
      <c r="R35" s="5">
        <v>61</v>
      </c>
      <c r="S35" s="1"/>
      <c r="T35" s="1"/>
      <c r="U35" s="1"/>
      <c r="V35" s="62"/>
      <c r="W35" s="63"/>
      <c r="X35" s="64"/>
      <c r="Y35" s="69"/>
      <c r="Z35" s="1"/>
    </row>
    <row r="36" spans="2:26">
      <c r="B36" s="3" t="s">
        <v>117</v>
      </c>
      <c r="C36" s="43" t="s">
        <v>385</v>
      </c>
      <c r="D36" s="3" t="s">
        <v>119</v>
      </c>
      <c r="E36" s="3" t="s">
        <v>120</v>
      </c>
      <c r="F36" s="1"/>
      <c r="G36" s="4">
        <v>12</v>
      </c>
      <c r="H36" s="8" t="s">
        <v>358</v>
      </c>
      <c r="I36" s="4" t="s">
        <v>114</v>
      </c>
      <c r="J36" s="4" t="s">
        <v>115</v>
      </c>
      <c r="K36" s="4" t="s">
        <v>74</v>
      </c>
      <c r="L36" s="7" t="s">
        <v>104</v>
      </c>
      <c r="M36" s="5">
        <v>19</v>
      </c>
      <c r="N36" s="44" t="s">
        <v>350</v>
      </c>
      <c r="O36" s="45"/>
      <c r="P36" s="4" t="s">
        <v>375</v>
      </c>
      <c r="Q36" s="14" t="s">
        <v>105</v>
      </c>
      <c r="R36" s="5">
        <v>61</v>
      </c>
      <c r="S36" s="1"/>
      <c r="T36" s="1"/>
      <c r="U36" s="1"/>
      <c r="V36" s="65"/>
      <c r="W36" s="66"/>
      <c r="X36" s="67"/>
      <c r="Y36" s="70"/>
      <c r="Z36" s="1"/>
    </row>
    <row r="37" spans="2:26" ht="16.5" customHeight="1">
      <c r="B37" s="6" t="s">
        <v>124</v>
      </c>
      <c r="C37" s="5" t="s">
        <v>125</v>
      </c>
      <c r="D37" s="5" t="s">
        <v>126</v>
      </c>
      <c r="E37" s="7" t="s">
        <v>6</v>
      </c>
      <c r="F37" s="1"/>
      <c r="G37" s="4">
        <v>12</v>
      </c>
      <c r="H37" s="8" t="s">
        <v>359</v>
      </c>
      <c r="I37" s="4" t="s">
        <v>114</v>
      </c>
      <c r="J37" s="4" t="s">
        <v>115</v>
      </c>
      <c r="K37" s="4" t="s">
        <v>74</v>
      </c>
      <c r="L37" s="7" t="s">
        <v>104</v>
      </c>
      <c r="M37" s="5">
        <v>20</v>
      </c>
      <c r="N37" s="44" t="s">
        <v>350</v>
      </c>
      <c r="O37" s="45"/>
      <c r="P37" s="4" t="s">
        <v>376</v>
      </c>
      <c r="Q37" s="14" t="s">
        <v>105</v>
      </c>
      <c r="R37" s="5">
        <v>61</v>
      </c>
      <c r="S37" s="1"/>
      <c r="T37" s="1"/>
      <c r="U37" s="1"/>
      <c r="V37" s="1"/>
      <c r="W37" s="1"/>
      <c r="X37" s="1"/>
      <c r="Y37" s="1"/>
      <c r="Z37" s="1"/>
    </row>
    <row r="38" spans="2:26" ht="16.5" customHeight="1">
      <c r="B38" s="6" t="s">
        <v>132</v>
      </c>
      <c r="C38" s="5" t="s">
        <v>133</v>
      </c>
      <c r="D38" s="5" t="s">
        <v>126</v>
      </c>
      <c r="E38" s="7" t="s">
        <v>6</v>
      </c>
      <c r="F38" s="1"/>
      <c r="G38" s="4">
        <v>12</v>
      </c>
      <c r="H38" s="8" t="s">
        <v>360</v>
      </c>
      <c r="I38" s="4" t="s">
        <v>114</v>
      </c>
      <c r="J38" s="4" t="s">
        <v>115</v>
      </c>
      <c r="K38" s="4" t="s">
        <v>74</v>
      </c>
      <c r="L38" s="7" t="s">
        <v>104</v>
      </c>
      <c r="M38" s="5">
        <v>21</v>
      </c>
      <c r="N38" s="44" t="s">
        <v>350</v>
      </c>
      <c r="O38" s="45"/>
      <c r="P38" s="4" t="s">
        <v>377</v>
      </c>
      <c r="Q38" s="14" t="s">
        <v>105</v>
      </c>
      <c r="R38" s="5">
        <v>61</v>
      </c>
      <c r="S38" s="1"/>
      <c r="T38" s="1"/>
      <c r="U38" s="1"/>
      <c r="V38" s="1"/>
      <c r="W38" s="1"/>
      <c r="X38" s="1"/>
      <c r="Y38" s="1"/>
      <c r="Z38" s="1"/>
    </row>
    <row r="39" spans="2:26" ht="16.5" customHeight="1">
      <c r="B39" s="6" t="s">
        <v>141</v>
      </c>
      <c r="C39" s="5" t="s">
        <v>142</v>
      </c>
      <c r="D39" s="5" t="s">
        <v>126</v>
      </c>
      <c r="E39" s="7" t="s">
        <v>6</v>
      </c>
      <c r="F39" s="1"/>
      <c r="G39" s="4">
        <v>12</v>
      </c>
      <c r="H39" s="8" t="s">
        <v>361</v>
      </c>
      <c r="I39" s="4" t="s">
        <v>114</v>
      </c>
      <c r="J39" s="4" t="s">
        <v>115</v>
      </c>
      <c r="K39" s="4" t="s">
        <v>74</v>
      </c>
      <c r="L39" s="7" t="s">
        <v>104</v>
      </c>
      <c r="M39" s="5">
        <v>22</v>
      </c>
      <c r="N39" s="44" t="s">
        <v>350</v>
      </c>
      <c r="O39" s="45"/>
      <c r="P39" s="4" t="s">
        <v>378</v>
      </c>
      <c r="Q39" s="14" t="s">
        <v>105</v>
      </c>
      <c r="R39" s="5">
        <v>61</v>
      </c>
      <c r="S39" s="1"/>
      <c r="T39" s="1"/>
      <c r="U39" s="1"/>
      <c r="V39" s="1"/>
      <c r="W39" s="1"/>
      <c r="X39" s="1"/>
      <c r="Y39" s="1"/>
      <c r="Z39" s="1"/>
    </row>
    <row r="40" spans="2:26" ht="16.5" customHeight="1">
      <c r="B40" s="6" t="s">
        <v>147</v>
      </c>
      <c r="C40" s="5" t="s">
        <v>148</v>
      </c>
      <c r="D40" s="5" t="s">
        <v>126</v>
      </c>
      <c r="E40" s="7" t="s">
        <v>6</v>
      </c>
      <c r="F40" s="1"/>
      <c r="G40" s="4">
        <v>12</v>
      </c>
      <c r="H40" s="8" t="s">
        <v>362</v>
      </c>
      <c r="I40" s="4" t="s">
        <v>114</v>
      </c>
      <c r="J40" s="4" t="s">
        <v>115</v>
      </c>
      <c r="K40" s="4" t="s">
        <v>74</v>
      </c>
      <c r="L40" s="7" t="s">
        <v>104</v>
      </c>
      <c r="M40" s="5">
        <v>23</v>
      </c>
      <c r="N40" s="44" t="s">
        <v>350</v>
      </c>
      <c r="O40" s="45"/>
      <c r="P40" s="4" t="s">
        <v>379</v>
      </c>
      <c r="Q40" s="14" t="s">
        <v>105</v>
      </c>
      <c r="R40" s="5">
        <v>61</v>
      </c>
      <c r="S40" s="1"/>
      <c r="T40" s="1"/>
      <c r="U40" s="1"/>
      <c r="V40" s="1"/>
      <c r="W40" s="1"/>
      <c r="X40" s="1"/>
      <c r="Y40" s="1"/>
      <c r="Z40" s="1"/>
    </row>
    <row r="41" spans="2:26" ht="16.5" customHeight="1">
      <c r="B41" s="6" t="s">
        <v>152</v>
      </c>
      <c r="C41" s="5" t="s">
        <v>74</v>
      </c>
      <c r="D41" s="5" t="s">
        <v>153</v>
      </c>
      <c r="E41" s="7" t="s">
        <v>6</v>
      </c>
      <c r="F41" s="1"/>
      <c r="G41" s="4">
        <v>12</v>
      </c>
      <c r="H41" s="8" t="s">
        <v>363</v>
      </c>
      <c r="I41" s="4" t="s">
        <v>114</v>
      </c>
      <c r="J41" s="4" t="s">
        <v>115</v>
      </c>
      <c r="K41" s="4" t="s">
        <v>74</v>
      </c>
      <c r="L41" s="7" t="s">
        <v>104</v>
      </c>
      <c r="M41" s="5">
        <v>24</v>
      </c>
      <c r="N41" s="44" t="s">
        <v>350</v>
      </c>
      <c r="O41" s="45"/>
      <c r="P41" s="4" t="s">
        <v>380</v>
      </c>
      <c r="Q41" s="14" t="s">
        <v>105</v>
      </c>
      <c r="R41" s="5">
        <v>61</v>
      </c>
      <c r="S41" s="1"/>
      <c r="T41" s="1"/>
      <c r="U41" s="1"/>
      <c r="V41" s="1"/>
      <c r="W41" s="1"/>
      <c r="X41" s="1"/>
      <c r="Y41" s="1"/>
      <c r="Z41" s="1"/>
    </row>
    <row r="42" spans="2:26" ht="16.5" customHeight="1">
      <c r="B42" s="6" t="s">
        <v>156</v>
      </c>
      <c r="C42" s="5" t="s">
        <v>74</v>
      </c>
      <c r="D42" s="5" t="s">
        <v>153</v>
      </c>
      <c r="E42" s="7" t="s">
        <v>6</v>
      </c>
      <c r="F42" s="1"/>
      <c r="G42" s="4">
        <v>12</v>
      </c>
      <c r="H42" s="8" t="s">
        <v>364</v>
      </c>
      <c r="I42" s="4" t="s">
        <v>114</v>
      </c>
      <c r="J42" s="4" t="s">
        <v>115</v>
      </c>
      <c r="K42" s="4" t="s">
        <v>74</v>
      </c>
      <c r="L42" s="7" t="s">
        <v>104</v>
      </c>
      <c r="M42" s="5">
        <v>25</v>
      </c>
      <c r="N42" s="44" t="s">
        <v>350</v>
      </c>
      <c r="O42" s="45"/>
      <c r="P42" s="4" t="s">
        <v>381</v>
      </c>
      <c r="Q42" s="14" t="s">
        <v>105</v>
      </c>
      <c r="R42" s="5">
        <v>61</v>
      </c>
      <c r="S42" s="1"/>
      <c r="T42" s="1"/>
      <c r="U42" s="1"/>
      <c r="V42" s="1"/>
      <c r="W42" s="1"/>
      <c r="X42" s="1"/>
      <c r="Y42" s="1"/>
      <c r="Z42" s="1"/>
    </row>
    <row r="43" spans="2:26" ht="16.5" customHeight="1">
      <c r="B43" s="6" t="s">
        <v>160</v>
      </c>
      <c r="C43" s="5" t="s">
        <v>74</v>
      </c>
      <c r="D43" s="5" t="s">
        <v>153</v>
      </c>
      <c r="E43" s="7" t="s">
        <v>6</v>
      </c>
      <c r="F43" s="1"/>
      <c r="G43" s="4"/>
      <c r="H43" s="8"/>
      <c r="I43" s="4"/>
      <c r="J43" s="4"/>
      <c r="K43" s="4"/>
      <c r="L43" s="7"/>
      <c r="M43" s="4"/>
      <c r="N43" s="44"/>
      <c r="O43" s="45"/>
      <c r="P43" s="4"/>
      <c r="Q43" s="14"/>
      <c r="R43" s="5"/>
      <c r="S43" s="1"/>
      <c r="T43" s="1"/>
      <c r="U43" s="1"/>
      <c r="V43" s="1"/>
      <c r="W43" s="1"/>
      <c r="X43" s="1"/>
      <c r="Y43" s="1"/>
      <c r="Z43" s="1"/>
    </row>
    <row r="44" spans="2:26" ht="16.5" customHeight="1">
      <c r="B44" s="6" t="s">
        <v>166</v>
      </c>
      <c r="C44" s="5" t="s">
        <v>74</v>
      </c>
      <c r="D44" s="5" t="s">
        <v>153</v>
      </c>
      <c r="E44" s="7" t="s">
        <v>6</v>
      </c>
      <c r="F44" s="1"/>
      <c r="G44" s="4"/>
      <c r="H44" s="8"/>
      <c r="I44" s="4"/>
      <c r="J44" s="4"/>
      <c r="K44" s="4"/>
      <c r="L44" s="7"/>
      <c r="M44" s="4"/>
      <c r="N44" s="44"/>
      <c r="O44" s="45"/>
      <c r="P44" s="4"/>
      <c r="Q44" s="14"/>
      <c r="R44" s="5"/>
      <c r="S44" s="1"/>
      <c r="T44" s="1"/>
      <c r="U44" s="1"/>
      <c r="V44" s="1"/>
      <c r="W44" s="1"/>
      <c r="X44" s="1"/>
      <c r="Y44" s="1"/>
      <c r="Z44" s="1"/>
    </row>
    <row r="45" spans="2:26" ht="16.5" customHeight="1">
      <c r="B45" s="2"/>
      <c r="C45" s="2"/>
      <c r="D45" s="2"/>
      <c r="E45" s="2"/>
      <c r="F45" s="1"/>
      <c r="G45" s="4"/>
      <c r="H45" s="8"/>
      <c r="I45" s="4"/>
      <c r="J45" s="4"/>
      <c r="K45" s="4"/>
      <c r="L45" s="7"/>
      <c r="M45" s="4"/>
      <c r="N45" s="44"/>
      <c r="O45" s="45"/>
      <c r="P45" s="4"/>
      <c r="Q45" s="14"/>
      <c r="R45" s="5"/>
      <c r="S45" s="1"/>
      <c r="T45" s="1"/>
      <c r="U45" s="1"/>
      <c r="V45" s="1"/>
      <c r="W45" s="1"/>
      <c r="X45" s="1"/>
      <c r="Y45" s="1"/>
      <c r="Z45" s="1"/>
    </row>
    <row r="46" spans="2:26" ht="16.5" customHeight="1">
      <c r="B46" s="2"/>
      <c r="C46" s="2"/>
      <c r="D46" s="2"/>
      <c r="E46" s="2"/>
      <c r="F46" s="1"/>
      <c r="G46" s="4"/>
      <c r="H46" s="8"/>
      <c r="I46" s="4"/>
      <c r="J46" s="4"/>
      <c r="K46" s="4"/>
      <c r="L46" s="7"/>
      <c r="M46" s="4"/>
      <c r="N46" s="44"/>
      <c r="O46" s="45"/>
      <c r="P46" s="4"/>
      <c r="Q46" s="14"/>
      <c r="R46" s="5"/>
      <c r="S46" s="1"/>
      <c r="T46" s="1"/>
      <c r="U46" s="1"/>
      <c r="V46" s="1"/>
      <c r="W46" s="1"/>
      <c r="X46" s="1"/>
      <c r="Y46" s="1"/>
      <c r="Z46" s="1"/>
    </row>
    <row r="47" spans="2:26" ht="16.5" customHeight="1"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2:26" ht="16.5" customHeight="1"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ht="16.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ht="16.5" customHeight="1"/>
    <row r="51" spans="2:26" ht="16.5" customHeight="1"/>
  </sheetData>
  <mergeCells count="45">
    <mergeCell ref="C13:E15"/>
    <mergeCell ref="C16:E18"/>
    <mergeCell ref="O13:P14"/>
    <mergeCell ref="Q10:R10"/>
    <mergeCell ref="Q11:R12"/>
    <mergeCell ref="Q13:R14"/>
    <mergeCell ref="G16:R16"/>
    <mergeCell ref="C28:E30"/>
    <mergeCell ref="C31:E33"/>
    <mergeCell ref="B35:E35"/>
    <mergeCell ref="C19:E21"/>
    <mergeCell ref="C22:E24"/>
    <mergeCell ref="C25:E27"/>
    <mergeCell ref="G13:H14"/>
    <mergeCell ref="I10:J10"/>
    <mergeCell ref="I11:J12"/>
    <mergeCell ref="I13:J14"/>
    <mergeCell ref="K10:L10"/>
    <mergeCell ref="K11:L12"/>
    <mergeCell ref="K13:L14"/>
    <mergeCell ref="T1:W1"/>
    <mergeCell ref="T2:U2"/>
    <mergeCell ref="T4:U4"/>
    <mergeCell ref="V4:W4"/>
    <mergeCell ref="G7:R7"/>
    <mergeCell ref="N17:O17"/>
    <mergeCell ref="V34:X36"/>
    <mergeCell ref="Y34:Y36"/>
    <mergeCell ref="U20:X20"/>
    <mergeCell ref="T7:Z7"/>
    <mergeCell ref="M10:N10"/>
    <mergeCell ref="M11:N12"/>
    <mergeCell ref="M13:N14"/>
    <mergeCell ref="O10:P10"/>
    <mergeCell ref="O11:P12"/>
    <mergeCell ref="C10:D10"/>
    <mergeCell ref="C11:D11"/>
    <mergeCell ref="O1:Q1"/>
    <mergeCell ref="O2:Q2"/>
    <mergeCell ref="O3:Q3"/>
    <mergeCell ref="E3:M4"/>
    <mergeCell ref="G10:H10"/>
    <mergeCell ref="G11:H12"/>
    <mergeCell ref="B7:E7"/>
    <mergeCell ref="B1:D5"/>
  </mergeCells>
  <phoneticPr fontId="4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C837-B2FC-4A19-8DB4-B07CFB597912}">
  <dimension ref="B3:D8"/>
  <sheetViews>
    <sheetView workbookViewId="0">
      <selection activeCell="C59" sqref="C59"/>
    </sheetView>
  </sheetViews>
  <sheetFormatPr defaultRowHeight="14.25"/>
  <sheetData>
    <row r="3" spans="2:4">
      <c r="B3" t="s">
        <v>384</v>
      </c>
      <c r="C3" t="s">
        <v>383</v>
      </c>
    </row>
    <row r="4" spans="2:4">
      <c r="B4">
        <f>COUNTIF('Control Center'!Q18:Q58,"Success")</f>
        <v>6</v>
      </c>
      <c r="C4">
        <f>COUNTA('Control Center'!Q18:Q58)-B4</f>
        <v>19</v>
      </c>
      <c r="D4" s="47">
        <f>B4/(B4+C4)</f>
        <v>0.24</v>
      </c>
    </row>
    <row r="5" spans="2:4">
      <c r="B5" t="s">
        <v>90</v>
      </c>
      <c r="C5" t="s">
        <v>386</v>
      </c>
    </row>
    <row r="6" spans="2:4">
      <c r="B6">
        <f>COUNTIF('Control Center'!Q18:Q58,"Warning")</f>
        <v>1</v>
      </c>
      <c r="C6">
        <f>COUNTA('Control Center'!Q18:Q58)-B6</f>
        <v>24</v>
      </c>
      <c r="D6" s="47">
        <f>B6/(B6+C6)</f>
        <v>0.04</v>
      </c>
    </row>
    <row r="7" spans="2:4">
      <c r="B7" t="s">
        <v>387</v>
      </c>
      <c r="C7" t="s">
        <v>388</v>
      </c>
    </row>
    <row r="8" spans="2:4">
      <c r="B8">
        <f>COUNTIF('Control Center'!Q18:Q58,"Failed")</f>
        <v>1</v>
      </c>
      <c r="C8">
        <f>COUNTA('Control Center'!Q18:Q58)-B8</f>
        <v>24</v>
      </c>
      <c r="D8" s="47">
        <f>B8/(B8+C8)</f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"/>
  <sheetViews>
    <sheetView showGridLines="0" workbookViewId="0">
      <selection activeCell="F36" sqref="A34:F36"/>
    </sheetView>
  </sheetViews>
  <sheetFormatPr defaultRowHeight="14.25"/>
  <cols>
    <col min="1" max="1" width="15" customWidth="1"/>
    <col min="2" max="2" width="18.75" customWidth="1"/>
    <col min="3" max="3" width="17.5" customWidth="1"/>
    <col min="4" max="4" width="18.75" customWidth="1"/>
    <col min="5" max="14" width="15" customWidth="1"/>
    <col min="15" max="15" width="17.5" customWidth="1"/>
    <col min="16" max="16" width="3" customWidth="1"/>
    <col min="17" max="22" width="15" customWidth="1"/>
  </cols>
  <sheetData>
    <row r="1" spans="1:22">
      <c r="A1" s="145" t="s">
        <v>187</v>
      </c>
      <c r="B1" s="145" t="s">
        <v>187</v>
      </c>
      <c r="C1" s="145" t="s">
        <v>187</v>
      </c>
      <c r="D1" s="145" t="s">
        <v>187</v>
      </c>
      <c r="E1" s="145" t="s">
        <v>187</v>
      </c>
      <c r="F1" s="145" t="s">
        <v>187</v>
      </c>
      <c r="G1" s="145" t="s">
        <v>187</v>
      </c>
      <c r="H1" s="145" t="s">
        <v>187</v>
      </c>
      <c r="I1" s="145" t="s">
        <v>187</v>
      </c>
      <c r="J1" s="145" t="s">
        <v>187</v>
      </c>
      <c r="K1" s="145" t="s">
        <v>187</v>
      </c>
      <c r="L1" s="145" t="s">
        <v>187</v>
      </c>
      <c r="M1" s="145" t="s">
        <v>187</v>
      </c>
      <c r="N1" s="145" t="s">
        <v>187</v>
      </c>
      <c r="O1" s="145" t="s">
        <v>187</v>
      </c>
      <c r="P1" s="23"/>
      <c r="Q1" s="23"/>
      <c r="R1" s="23"/>
      <c r="S1" s="23"/>
      <c r="T1" s="23"/>
      <c r="U1" s="23"/>
      <c r="V1" s="23"/>
    </row>
    <row r="2" spans="1:22" ht="16.5">
      <c r="A2" s="145" t="s">
        <v>188</v>
      </c>
      <c r="B2" s="145" t="s">
        <v>188</v>
      </c>
      <c r="C2" s="145" t="s">
        <v>188</v>
      </c>
      <c r="D2" s="145" t="s">
        <v>188</v>
      </c>
      <c r="E2" s="145" t="s">
        <v>188</v>
      </c>
      <c r="F2" s="145" t="s">
        <v>188</v>
      </c>
      <c r="G2" s="145" t="s">
        <v>188</v>
      </c>
      <c r="H2" s="145" t="s">
        <v>188</v>
      </c>
      <c r="I2" s="145" t="s">
        <v>188</v>
      </c>
      <c r="J2" s="145" t="s">
        <v>188</v>
      </c>
      <c r="K2" s="145" t="s">
        <v>188</v>
      </c>
      <c r="L2" s="145" t="s">
        <v>188</v>
      </c>
      <c r="M2" s="145" t="s">
        <v>188</v>
      </c>
      <c r="N2" s="145" t="s">
        <v>188</v>
      </c>
      <c r="O2" s="145" t="s">
        <v>188</v>
      </c>
      <c r="P2" s="22"/>
      <c r="Q2" s="22"/>
      <c r="R2" s="22"/>
      <c r="S2" s="22"/>
      <c r="T2" s="22"/>
      <c r="U2" s="22"/>
      <c r="V2" s="22"/>
    </row>
    <row r="4" spans="1:22" ht="15">
      <c r="A4" s="29" t="s">
        <v>13</v>
      </c>
      <c r="B4" s="29" t="s">
        <v>45</v>
      </c>
      <c r="C4" s="29" t="s">
        <v>46</v>
      </c>
      <c r="D4" s="29" t="s">
        <v>189</v>
      </c>
      <c r="E4" s="29" t="s">
        <v>190</v>
      </c>
      <c r="F4" s="29" t="s">
        <v>191</v>
      </c>
      <c r="G4" s="29" t="s">
        <v>47</v>
      </c>
      <c r="H4" s="29" t="s">
        <v>48</v>
      </c>
      <c r="I4" s="29" t="s">
        <v>49</v>
      </c>
      <c r="J4" s="29" t="s">
        <v>192</v>
      </c>
      <c r="K4" s="29" t="s">
        <v>50</v>
      </c>
      <c r="L4" s="29" t="s">
        <v>51</v>
      </c>
      <c r="M4" s="29" t="s">
        <v>193</v>
      </c>
      <c r="N4" s="29" t="s">
        <v>194</v>
      </c>
      <c r="O4" s="29" t="s">
        <v>195</v>
      </c>
      <c r="Q4" s="30" t="s">
        <v>51</v>
      </c>
      <c r="R4" s="30" t="s">
        <v>196</v>
      </c>
    </row>
    <row r="5" spans="1:22">
      <c r="A5" s="27" t="s">
        <v>24</v>
      </c>
      <c r="B5" s="27" t="s">
        <v>55</v>
      </c>
      <c r="C5" s="27" t="s">
        <v>56</v>
      </c>
      <c r="D5" s="27" t="s">
        <v>197</v>
      </c>
      <c r="E5" s="27" t="s">
        <v>198</v>
      </c>
      <c r="F5" s="27" t="s">
        <v>136</v>
      </c>
      <c r="G5" s="27" t="s">
        <v>57</v>
      </c>
      <c r="H5" s="28" t="b">
        <v>1</v>
      </c>
      <c r="I5" s="27">
        <v>1</v>
      </c>
      <c r="J5" s="27" t="s">
        <v>199</v>
      </c>
      <c r="K5" s="27" t="s">
        <v>59</v>
      </c>
      <c r="L5" s="27" t="s">
        <v>60</v>
      </c>
      <c r="M5" s="27">
        <v>98</v>
      </c>
      <c r="N5" s="27"/>
      <c r="O5" s="27" t="s">
        <v>200</v>
      </c>
      <c r="Q5" s="24" t="s">
        <v>60</v>
      </c>
      <c r="R5" s="24">
        <v>6</v>
      </c>
    </row>
    <row r="6" spans="1:22">
      <c r="A6" s="27" t="s">
        <v>42</v>
      </c>
      <c r="B6" s="27" t="s">
        <v>62</v>
      </c>
      <c r="C6" s="27" t="s">
        <v>56</v>
      </c>
      <c r="D6" s="27" t="s">
        <v>201</v>
      </c>
      <c r="E6" s="27" t="s">
        <v>202</v>
      </c>
      <c r="F6" s="27" t="s">
        <v>136</v>
      </c>
      <c r="G6" s="27" t="s">
        <v>63</v>
      </c>
      <c r="H6" s="28" t="b">
        <v>1</v>
      </c>
      <c r="I6" s="27">
        <v>2</v>
      </c>
      <c r="J6" s="27" t="s">
        <v>199</v>
      </c>
      <c r="K6" s="27" t="s">
        <v>64</v>
      </c>
      <c r="L6" s="27" t="s">
        <v>60</v>
      </c>
      <c r="M6" s="27">
        <v>76</v>
      </c>
      <c r="N6" s="27"/>
      <c r="O6" s="27" t="s">
        <v>200</v>
      </c>
      <c r="Q6" s="24" t="s">
        <v>30</v>
      </c>
      <c r="R6" s="24">
        <v>1</v>
      </c>
    </row>
    <row r="7" spans="1:22">
      <c r="A7" s="27" t="s">
        <v>66</v>
      </c>
      <c r="B7" s="27" t="s">
        <v>68</v>
      </c>
      <c r="C7" s="27" t="s">
        <v>56</v>
      </c>
      <c r="D7" s="27" t="s">
        <v>203</v>
      </c>
      <c r="E7" s="27" t="s">
        <v>204</v>
      </c>
      <c r="F7" s="27" t="s">
        <v>136</v>
      </c>
      <c r="G7" s="27" t="s">
        <v>63</v>
      </c>
      <c r="H7" s="28" t="b">
        <v>1</v>
      </c>
      <c r="I7" s="27">
        <v>3</v>
      </c>
      <c r="J7" s="27" t="s">
        <v>205</v>
      </c>
      <c r="K7" s="27" t="s">
        <v>69</v>
      </c>
      <c r="L7" s="27" t="s">
        <v>60</v>
      </c>
      <c r="M7" s="27">
        <v>64</v>
      </c>
      <c r="N7" s="27"/>
      <c r="O7" s="27" t="s">
        <v>200</v>
      </c>
      <c r="Q7" s="24" t="s">
        <v>90</v>
      </c>
      <c r="R7" s="24">
        <v>1</v>
      </c>
    </row>
    <row r="8" spans="1:22">
      <c r="A8" s="27" t="s">
        <v>71</v>
      </c>
      <c r="B8" s="27" t="s">
        <v>72</v>
      </c>
      <c r="C8" s="27" t="s">
        <v>73</v>
      </c>
      <c r="D8" s="27" t="s">
        <v>206</v>
      </c>
      <c r="E8" s="27" t="s">
        <v>207</v>
      </c>
      <c r="F8" s="27" t="s">
        <v>136</v>
      </c>
      <c r="G8" s="27" t="s">
        <v>74</v>
      </c>
      <c r="H8" s="28" t="b">
        <v>1</v>
      </c>
      <c r="I8" s="27">
        <v>4</v>
      </c>
      <c r="J8" s="27" t="s">
        <v>139</v>
      </c>
      <c r="K8" s="27" t="s">
        <v>75</v>
      </c>
      <c r="L8" s="27" t="s">
        <v>30</v>
      </c>
      <c r="M8" s="27">
        <v>45</v>
      </c>
      <c r="N8" s="27" t="s">
        <v>85</v>
      </c>
      <c r="O8" s="27" t="s">
        <v>208</v>
      </c>
      <c r="Q8" s="24" t="s">
        <v>105</v>
      </c>
      <c r="R8" s="24">
        <v>4</v>
      </c>
    </row>
    <row r="9" spans="1:22">
      <c r="A9" s="27" t="s">
        <v>80</v>
      </c>
      <c r="B9" s="27" t="s">
        <v>81</v>
      </c>
      <c r="C9" s="27" t="s">
        <v>73</v>
      </c>
      <c r="D9" s="27" t="s">
        <v>209</v>
      </c>
      <c r="E9" s="27" t="s">
        <v>210</v>
      </c>
      <c r="F9" s="27" t="s">
        <v>136</v>
      </c>
      <c r="G9" s="27" t="s">
        <v>74</v>
      </c>
      <c r="H9" s="28" t="b">
        <v>1</v>
      </c>
      <c r="I9" s="27">
        <v>5</v>
      </c>
      <c r="J9" s="27" t="s">
        <v>199</v>
      </c>
      <c r="K9" s="27" t="s">
        <v>82</v>
      </c>
      <c r="L9" s="27" t="s">
        <v>60</v>
      </c>
      <c r="M9" s="27">
        <v>82</v>
      </c>
      <c r="N9" s="27"/>
      <c r="O9" s="27" t="s">
        <v>208</v>
      </c>
    </row>
    <row r="10" spans="1:22">
      <c r="A10" s="27" t="s">
        <v>78</v>
      </c>
      <c r="B10" s="27" t="s">
        <v>87</v>
      </c>
      <c r="C10" s="27" t="s">
        <v>88</v>
      </c>
      <c r="D10" s="27" t="s">
        <v>211</v>
      </c>
      <c r="E10" s="27" t="s">
        <v>212</v>
      </c>
      <c r="F10" s="27" t="s">
        <v>136</v>
      </c>
      <c r="G10" s="27" t="s">
        <v>74</v>
      </c>
      <c r="H10" s="28" t="b">
        <v>1</v>
      </c>
      <c r="I10" s="27">
        <v>6</v>
      </c>
      <c r="J10" s="27" t="s">
        <v>139</v>
      </c>
      <c r="K10" s="27" t="s">
        <v>89</v>
      </c>
      <c r="L10" s="27" t="s">
        <v>90</v>
      </c>
      <c r="M10" s="27">
        <v>53</v>
      </c>
      <c r="N10" s="27" t="s">
        <v>79</v>
      </c>
      <c r="O10" s="27" t="s">
        <v>213</v>
      </c>
    </row>
    <row r="11" spans="1:22">
      <c r="A11" s="27" t="s">
        <v>92</v>
      </c>
      <c r="B11" s="27" t="s">
        <v>93</v>
      </c>
      <c r="C11" s="27" t="s">
        <v>94</v>
      </c>
      <c r="D11" s="27" t="s">
        <v>214</v>
      </c>
      <c r="E11" s="27" t="s">
        <v>215</v>
      </c>
      <c r="F11" s="27" t="s">
        <v>136</v>
      </c>
      <c r="G11" s="27" t="s">
        <v>74</v>
      </c>
      <c r="H11" s="28" t="b">
        <v>1</v>
      </c>
      <c r="I11" s="27">
        <v>7</v>
      </c>
      <c r="J11" s="27" t="s">
        <v>199</v>
      </c>
      <c r="K11" s="27" t="s">
        <v>95</v>
      </c>
      <c r="L11" s="27" t="s">
        <v>60</v>
      </c>
      <c r="M11" s="27">
        <v>47</v>
      </c>
      <c r="N11" s="27"/>
      <c r="O11" s="27" t="s">
        <v>216</v>
      </c>
    </row>
    <row r="12" spans="1:22">
      <c r="A12" s="27" t="s">
        <v>97</v>
      </c>
      <c r="B12" s="27" t="s">
        <v>98</v>
      </c>
      <c r="C12" s="27" t="s">
        <v>56</v>
      </c>
      <c r="D12" s="27" t="s">
        <v>217</v>
      </c>
      <c r="E12" s="27" t="s">
        <v>218</v>
      </c>
      <c r="F12" s="27" t="s">
        <v>136</v>
      </c>
      <c r="G12" s="27" t="s">
        <v>74</v>
      </c>
      <c r="H12" s="28" t="b">
        <v>1</v>
      </c>
      <c r="I12" s="27">
        <v>8</v>
      </c>
      <c r="J12" s="27" t="s">
        <v>205</v>
      </c>
      <c r="K12" s="27" t="s">
        <v>99</v>
      </c>
      <c r="L12" s="27" t="s">
        <v>60</v>
      </c>
      <c r="M12" s="27">
        <v>61</v>
      </c>
      <c r="N12" s="27"/>
      <c r="O12" s="27" t="s">
        <v>200</v>
      </c>
    </row>
    <row r="13" spans="1:22">
      <c r="A13" s="27" t="s">
        <v>102</v>
      </c>
      <c r="B13" s="27" t="s">
        <v>103</v>
      </c>
      <c r="C13" s="27" t="s">
        <v>56</v>
      </c>
      <c r="D13" s="27" t="s">
        <v>219</v>
      </c>
      <c r="E13" s="27" t="s">
        <v>220</v>
      </c>
      <c r="F13" s="27" t="s">
        <v>136</v>
      </c>
      <c r="G13" s="27" t="s">
        <v>74</v>
      </c>
      <c r="H13" s="28" t="b">
        <v>0</v>
      </c>
      <c r="I13" s="27">
        <v>9</v>
      </c>
      <c r="J13" s="27" t="s">
        <v>139</v>
      </c>
      <c r="K13" s="27"/>
      <c r="L13" s="27" t="s">
        <v>105</v>
      </c>
      <c r="M13" s="27"/>
      <c r="N13" s="27"/>
      <c r="O13" s="27" t="s">
        <v>200</v>
      </c>
    </row>
    <row r="14" spans="1:22">
      <c r="A14" s="27" t="s">
        <v>106</v>
      </c>
      <c r="B14" s="27" t="s">
        <v>107</v>
      </c>
      <c r="C14" s="27" t="s">
        <v>56</v>
      </c>
      <c r="D14" s="27" t="s">
        <v>221</v>
      </c>
      <c r="E14" s="27" t="s">
        <v>222</v>
      </c>
      <c r="F14" s="27" t="s">
        <v>136</v>
      </c>
      <c r="G14" s="27" t="s">
        <v>74</v>
      </c>
      <c r="H14" s="28" t="b">
        <v>0</v>
      </c>
      <c r="I14" s="27">
        <v>10</v>
      </c>
      <c r="J14" s="27" t="s">
        <v>139</v>
      </c>
      <c r="K14" s="27"/>
      <c r="L14" s="27" t="s">
        <v>105</v>
      </c>
      <c r="M14" s="27"/>
      <c r="N14" s="27"/>
      <c r="O14" s="27" t="s">
        <v>200</v>
      </c>
    </row>
    <row r="15" spans="1:22">
      <c r="A15" s="27" t="s">
        <v>108</v>
      </c>
      <c r="B15" s="27" t="s">
        <v>109</v>
      </c>
      <c r="C15" s="27" t="s">
        <v>110</v>
      </c>
      <c r="D15" s="27" t="s">
        <v>223</v>
      </c>
      <c r="E15" s="27" t="s">
        <v>224</v>
      </c>
      <c r="F15" s="27" t="s">
        <v>136</v>
      </c>
      <c r="G15" s="27" t="s">
        <v>74</v>
      </c>
      <c r="H15" s="28" t="b">
        <v>0</v>
      </c>
      <c r="I15" s="27">
        <v>11</v>
      </c>
      <c r="J15" s="27" t="s">
        <v>199</v>
      </c>
      <c r="K15" s="27"/>
      <c r="L15" s="27" t="s">
        <v>105</v>
      </c>
      <c r="M15" s="27"/>
      <c r="N15" s="27"/>
      <c r="O15" s="27" t="s">
        <v>225</v>
      </c>
    </row>
    <row r="16" spans="1:22">
      <c r="A16" s="27" t="s">
        <v>113</v>
      </c>
      <c r="B16" s="27" t="s">
        <v>114</v>
      </c>
      <c r="C16" s="27" t="s">
        <v>115</v>
      </c>
      <c r="D16" s="27" t="s">
        <v>226</v>
      </c>
      <c r="E16" s="27" t="s">
        <v>227</v>
      </c>
      <c r="F16" s="27" t="s">
        <v>136</v>
      </c>
      <c r="G16" s="27" t="s">
        <v>74</v>
      </c>
      <c r="H16" s="28" t="b">
        <v>0</v>
      </c>
      <c r="I16" s="27">
        <v>12</v>
      </c>
      <c r="J16" s="27" t="s">
        <v>139</v>
      </c>
      <c r="K16" s="27"/>
      <c r="L16" s="27" t="s">
        <v>105</v>
      </c>
      <c r="M16" s="27"/>
      <c r="N16" s="27"/>
      <c r="O16" s="27" t="s">
        <v>228</v>
      </c>
    </row>
  </sheetData>
  <mergeCells count="2">
    <mergeCell ref="A1:O1"/>
    <mergeCell ref="A2:O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"/>
  <sheetViews>
    <sheetView showGridLines="0" workbookViewId="0">
      <selection sqref="A1:O1"/>
    </sheetView>
  </sheetViews>
  <sheetFormatPr defaultRowHeight="14.25"/>
  <cols>
    <col min="1" max="1" width="15" customWidth="1"/>
    <col min="2" max="2" width="18.75" customWidth="1"/>
    <col min="3" max="3" width="17.5" customWidth="1"/>
    <col min="4" max="4" width="18.75" customWidth="1"/>
    <col min="5" max="14" width="15" customWidth="1"/>
    <col min="15" max="15" width="17.5" customWidth="1"/>
    <col min="16" max="16" width="3" customWidth="1"/>
    <col min="17" max="22" width="15" customWidth="1"/>
  </cols>
  <sheetData>
    <row r="1" spans="1:22">
      <c r="A1" s="146" t="s">
        <v>229</v>
      </c>
      <c r="B1" s="146" t="s">
        <v>229</v>
      </c>
      <c r="C1" s="146" t="s">
        <v>229</v>
      </c>
      <c r="D1" s="146" t="s">
        <v>229</v>
      </c>
      <c r="E1" s="146" t="s">
        <v>229</v>
      </c>
      <c r="F1" s="146" t="s">
        <v>229</v>
      </c>
      <c r="G1" s="146" t="s">
        <v>229</v>
      </c>
      <c r="H1" s="146" t="s">
        <v>229</v>
      </c>
      <c r="I1" s="146" t="s">
        <v>229</v>
      </c>
      <c r="J1" s="146" t="s">
        <v>229</v>
      </c>
      <c r="K1" s="146" t="s">
        <v>229</v>
      </c>
      <c r="L1" s="146" t="s">
        <v>229</v>
      </c>
      <c r="M1" s="146" t="s">
        <v>229</v>
      </c>
      <c r="N1" s="146" t="s">
        <v>229</v>
      </c>
      <c r="O1" s="146" t="s">
        <v>229</v>
      </c>
      <c r="P1" s="23"/>
      <c r="Q1" s="23"/>
      <c r="R1" s="23"/>
      <c r="S1" s="23"/>
      <c r="T1" s="23"/>
      <c r="U1" s="23"/>
      <c r="V1" s="23"/>
    </row>
    <row r="2" spans="1:22" ht="16.5">
      <c r="A2" s="145" t="s">
        <v>230</v>
      </c>
      <c r="B2" s="145" t="s">
        <v>230</v>
      </c>
      <c r="C2" s="145" t="s">
        <v>230</v>
      </c>
      <c r="D2" s="145" t="s">
        <v>230</v>
      </c>
      <c r="E2" s="145" t="s">
        <v>230</v>
      </c>
      <c r="F2" s="145" t="s">
        <v>230</v>
      </c>
      <c r="G2" s="145" t="s">
        <v>230</v>
      </c>
      <c r="H2" s="145" t="s">
        <v>230</v>
      </c>
      <c r="I2" s="145" t="s">
        <v>230</v>
      </c>
      <c r="J2" s="145" t="s">
        <v>230</v>
      </c>
      <c r="K2" s="145" t="s">
        <v>230</v>
      </c>
      <c r="L2" s="145" t="s">
        <v>230</v>
      </c>
      <c r="M2" s="145" t="s">
        <v>230</v>
      </c>
      <c r="N2" s="145" t="s">
        <v>230</v>
      </c>
      <c r="O2" s="145" t="s">
        <v>230</v>
      </c>
      <c r="P2" s="22"/>
      <c r="Q2" s="22"/>
      <c r="R2" s="22"/>
      <c r="S2" s="22"/>
      <c r="T2" s="22"/>
      <c r="U2" s="22"/>
      <c r="V2" s="22"/>
    </row>
    <row r="4" spans="1:22" ht="30">
      <c r="A4" s="33" t="s">
        <v>231</v>
      </c>
      <c r="B4" s="33" t="s">
        <v>232</v>
      </c>
      <c r="C4" s="33" t="s">
        <v>233</v>
      </c>
      <c r="D4" s="33" t="s">
        <v>234</v>
      </c>
      <c r="E4" s="33" t="s">
        <v>235</v>
      </c>
      <c r="F4" s="33" t="s">
        <v>236</v>
      </c>
      <c r="G4" s="33" t="s">
        <v>237</v>
      </c>
    </row>
    <row r="5" spans="1:22" ht="57">
      <c r="A5" s="31" t="s">
        <v>134</v>
      </c>
      <c r="B5" s="31" t="s">
        <v>124</v>
      </c>
      <c r="C5" s="31" t="s">
        <v>125</v>
      </c>
      <c r="D5" s="31" t="s">
        <v>125</v>
      </c>
      <c r="E5" s="31" t="s">
        <v>238</v>
      </c>
      <c r="F5" s="32" t="b">
        <v>1</v>
      </c>
      <c r="G5" s="31" t="s">
        <v>239</v>
      </c>
    </row>
    <row r="6" spans="1:22" ht="42.75">
      <c r="A6" s="31" t="s">
        <v>143</v>
      </c>
      <c r="B6" s="31" t="s">
        <v>132</v>
      </c>
      <c r="C6" s="31" t="s">
        <v>133</v>
      </c>
      <c r="D6" s="31" t="s">
        <v>133</v>
      </c>
      <c r="E6" s="31" t="s">
        <v>240</v>
      </c>
      <c r="F6" s="32" t="b">
        <v>1</v>
      </c>
      <c r="G6" s="31" t="s">
        <v>241</v>
      </c>
    </row>
    <row r="7" spans="1:22" ht="42.75">
      <c r="A7" s="31" t="s">
        <v>149</v>
      </c>
      <c r="B7" s="31" t="s">
        <v>141</v>
      </c>
      <c r="C7" s="31" t="s">
        <v>142</v>
      </c>
      <c r="D7" s="31" t="s">
        <v>142</v>
      </c>
      <c r="E7" s="31" t="s">
        <v>242</v>
      </c>
      <c r="F7" s="32" t="b">
        <v>1</v>
      </c>
      <c r="G7" s="31" t="s">
        <v>243</v>
      </c>
    </row>
    <row r="8" spans="1:22" ht="28.5">
      <c r="A8" s="31" t="s">
        <v>147</v>
      </c>
      <c r="B8" s="31" t="s">
        <v>147</v>
      </c>
      <c r="C8" s="31" t="s">
        <v>148</v>
      </c>
      <c r="D8" s="31" t="s">
        <v>148</v>
      </c>
      <c r="E8" s="31" t="s">
        <v>244</v>
      </c>
      <c r="F8" s="32" t="b">
        <v>1</v>
      </c>
      <c r="G8" s="31" t="s">
        <v>245</v>
      </c>
    </row>
    <row r="9" spans="1:22" ht="28.5">
      <c r="A9" s="31" t="s">
        <v>157</v>
      </c>
      <c r="B9" s="31" t="s">
        <v>152</v>
      </c>
      <c r="C9" s="31" t="s">
        <v>74</v>
      </c>
      <c r="D9" s="31" t="s">
        <v>74</v>
      </c>
      <c r="E9" s="31" t="s">
        <v>246</v>
      </c>
      <c r="F9" s="32" t="b">
        <v>0</v>
      </c>
      <c r="G9" s="31" t="s">
        <v>247</v>
      </c>
    </row>
    <row r="10" spans="1:22" ht="28.5">
      <c r="A10" s="31" t="s">
        <v>156</v>
      </c>
      <c r="B10" s="31" t="s">
        <v>156</v>
      </c>
      <c r="C10" s="31" t="s">
        <v>74</v>
      </c>
      <c r="D10" s="31" t="s">
        <v>74</v>
      </c>
      <c r="E10" s="31" t="s">
        <v>248</v>
      </c>
      <c r="F10" s="32" t="b">
        <v>0</v>
      </c>
      <c r="G10" s="31" t="s">
        <v>249</v>
      </c>
    </row>
    <row r="11" spans="1:22" ht="28.5">
      <c r="A11" s="31" t="s">
        <v>167</v>
      </c>
      <c r="B11" s="31" t="s">
        <v>160</v>
      </c>
      <c r="C11" s="31" t="s">
        <v>74</v>
      </c>
      <c r="D11" s="31" t="s">
        <v>74</v>
      </c>
      <c r="E11" s="31" t="s">
        <v>250</v>
      </c>
      <c r="F11" s="32" t="b">
        <v>0</v>
      </c>
      <c r="G11" s="31" t="s">
        <v>251</v>
      </c>
    </row>
    <row r="12" spans="1:22" ht="28.5">
      <c r="A12" s="31" t="s">
        <v>171</v>
      </c>
      <c r="B12" s="31" t="s">
        <v>166</v>
      </c>
      <c r="C12" s="31" t="s">
        <v>74</v>
      </c>
      <c r="D12" s="31" t="s">
        <v>74</v>
      </c>
      <c r="E12" s="31" t="s">
        <v>252</v>
      </c>
      <c r="F12" s="32" t="b">
        <v>0</v>
      </c>
      <c r="G12" s="31" t="s">
        <v>253</v>
      </c>
    </row>
  </sheetData>
  <mergeCells count="2">
    <mergeCell ref="A1:O1"/>
    <mergeCell ref="A2:O2"/>
  </mergeCells>
  <dataValidations count="1">
    <dataValidation type="list" sqref="F5:F12" xr:uid="{00000000-0002-0000-02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8"/>
  <sheetViews>
    <sheetView showGridLines="0" workbookViewId="0">
      <selection sqref="A1:O1"/>
    </sheetView>
  </sheetViews>
  <sheetFormatPr defaultRowHeight="14.25"/>
  <cols>
    <col min="1" max="1" width="15" customWidth="1"/>
    <col min="2" max="2" width="18.75" customWidth="1"/>
    <col min="3" max="3" width="17.5" customWidth="1"/>
    <col min="4" max="4" width="18.75" customWidth="1"/>
    <col min="5" max="14" width="15" customWidth="1"/>
    <col min="15" max="15" width="17.5" customWidth="1"/>
    <col min="16" max="16" width="3" customWidth="1"/>
    <col min="17" max="22" width="15" customWidth="1"/>
  </cols>
  <sheetData>
    <row r="1" spans="1:22">
      <c r="A1" s="146" t="s">
        <v>254</v>
      </c>
      <c r="B1" s="146" t="s">
        <v>254</v>
      </c>
      <c r="C1" s="146" t="s">
        <v>254</v>
      </c>
      <c r="D1" s="146" t="s">
        <v>254</v>
      </c>
      <c r="E1" s="146" t="s">
        <v>254</v>
      </c>
      <c r="F1" s="146" t="s">
        <v>254</v>
      </c>
      <c r="G1" s="146" t="s">
        <v>254</v>
      </c>
      <c r="H1" s="146" t="s">
        <v>254</v>
      </c>
      <c r="I1" s="146" t="s">
        <v>254</v>
      </c>
      <c r="J1" s="146" t="s">
        <v>254</v>
      </c>
      <c r="K1" s="146" t="s">
        <v>254</v>
      </c>
      <c r="L1" s="146" t="s">
        <v>254</v>
      </c>
      <c r="M1" s="146" t="s">
        <v>254</v>
      </c>
      <c r="N1" s="146" t="s">
        <v>254</v>
      </c>
      <c r="O1" s="146" t="s">
        <v>254</v>
      </c>
      <c r="P1" s="23"/>
      <c r="Q1" s="23"/>
      <c r="R1" s="23"/>
      <c r="S1" s="23"/>
      <c r="T1" s="23"/>
      <c r="U1" s="23"/>
      <c r="V1" s="23"/>
    </row>
    <row r="2" spans="1:22" ht="16.5">
      <c r="A2" s="145" t="s">
        <v>255</v>
      </c>
      <c r="B2" s="145" t="s">
        <v>255</v>
      </c>
      <c r="C2" s="145" t="s">
        <v>255</v>
      </c>
      <c r="D2" s="145" t="s">
        <v>255</v>
      </c>
      <c r="E2" s="145" t="s">
        <v>255</v>
      </c>
      <c r="F2" s="145" t="s">
        <v>255</v>
      </c>
      <c r="G2" s="145" t="s">
        <v>255</v>
      </c>
      <c r="H2" s="145" t="s">
        <v>255</v>
      </c>
      <c r="I2" s="145" t="s">
        <v>255</v>
      </c>
      <c r="J2" s="145" t="s">
        <v>255</v>
      </c>
      <c r="K2" s="145" t="s">
        <v>255</v>
      </c>
      <c r="L2" s="145" t="s">
        <v>255</v>
      </c>
      <c r="M2" s="145" t="s">
        <v>255</v>
      </c>
      <c r="N2" s="145" t="s">
        <v>255</v>
      </c>
      <c r="O2" s="145" t="s">
        <v>255</v>
      </c>
      <c r="P2" s="22"/>
      <c r="Q2" s="22"/>
      <c r="R2" s="22"/>
      <c r="S2" s="22"/>
      <c r="T2" s="22"/>
      <c r="U2" s="22"/>
      <c r="V2" s="22"/>
    </row>
    <row r="4" spans="1:22" ht="15">
      <c r="A4" s="34" t="s">
        <v>13</v>
      </c>
      <c r="B4" s="34" t="s">
        <v>231</v>
      </c>
      <c r="C4" s="34" t="s">
        <v>256</v>
      </c>
      <c r="D4" s="34" t="s">
        <v>257</v>
      </c>
      <c r="E4" s="34" t="s">
        <v>236</v>
      </c>
      <c r="F4" s="34" t="s">
        <v>234</v>
      </c>
    </row>
    <row r="5" spans="1:22">
      <c r="A5" s="25" t="s">
        <v>24</v>
      </c>
      <c r="B5" s="25" t="s">
        <v>134</v>
      </c>
      <c r="C5" s="25" t="s">
        <v>135</v>
      </c>
      <c r="D5" s="25" t="s">
        <v>136</v>
      </c>
      <c r="E5" s="26" t="b">
        <v>1</v>
      </c>
      <c r="F5" s="25" t="s">
        <v>125</v>
      </c>
    </row>
    <row r="6" spans="1:22">
      <c r="A6" s="25" t="s">
        <v>24</v>
      </c>
      <c r="B6" s="25" t="s">
        <v>143</v>
      </c>
      <c r="C6" s="25" t="s">
        <v>144</v>
      </c>
      <c r="D6" s="25" t="s">
        <v>136</v>
      </c>
      <c r="E6" s="26" t="b">
        <v>1</v>
      </c>
      <c r="F6" s="25" t="s">
        <v>133</v>
      </c>
    </row>
    <row r="7" spans="1:22">
      <c r="A7" s="25" t="s">
        <v>24</v>
      </c>
      <c r="B7" s="25" t="s">
        <v>149</v>
      </c>
      <c r="C7" s="25" t="s">
        <v>150</v>
      </c>
      <c r="D7" s="25" t="s">
        <v>136</v>
      </c>
      <c r="E7" s="26" t="b">
        <v>1</v>
      </c>
      <c r="F7" s="25" t="s">
        <v>142</v>
      </c>
    </row>
    <row r="8" spans="1:22">
      <c r="A8" s="25" t="s">
        <v>24</v>
      </c>
      <c r="B8" s="25" t="s">
        <v>147</v>
      </c>
      <c r="C8" s="25" t="s">
        <v>154</v>
      </c>
      <c r="D8" s="25" t="s">
        <v>136</v>
      </c>
      <c r="E8" s="26" t="b">
        <v>1</v>
      </c>
      <c r="F8" s="25" t="s">
        <v>148</v>
      </c>
    </row>
    <row r="9" spans="1:22">
      <c r="A9" s="25" t="s">
        <v>24</v>
      </c>
      <c r="B9" s="25" t="s">
        <v>157</v>
      </c>
      <c r="C9" s="25" t="s">
        <v>158</v>
      </c>
      <c r="D9" s="25" t="s">
        <v>136</v>
      </c>
      <c r="E9" s="26" t="b">
        <v>0</v>
      </c>
      <c r="F9" s="25" t="s">
        <v>74</v>
      </c>
    </row>
    <row r="10" spans="1:22">
      <c r="A10" s="25" t="s">
        <v>24</v>
      </c>
      <c r="B10" s="25" t="s">
        <v>156</v>
      </c>
      <c r="C10" s="25" t="s">
        <v>161</v>
      </c>
      <c r="D10" s="25" t="s">
        <v>136</v>
      </c>
      <c r="E10" s="26" t="b">
        <v>0</v>
      </c>
      <c r="F10" s="25" t="s">
        <v>74</v>
      </c>
    </row>
    <row r="11" spans="1:22">
      <c r="A11" s="25" t="s">
        <v>24</v>
      </c>
      <c r="B11" s="25" t="s">
        <v>167</v>
      </c>
      <c r="C11" s="25" t="s">
        <v>168</v>
      </c>
      <c r="D11" s="25" t="s">
        <v>136</v>
      </c>
      <c r="E11" s="26" t="b">
        <v>0</v>
      </c>
      <c r="F11" s="25" t="s">
        <v>74</v>
      </c>
    </row>
    <row r="12" spans="1:22">
      <c r="A12" s="25" t="s">
        <v>24</v>
      </c>
      <c r="B12" s="25" t="s">
        <v>171</v>
      </c>
      <c r="C12" s="25" t="s">
        <v>172</v>
      </c>
      <c r="D12" s="25" t="s">
        <v>136</v>
      </c>
      <c r="E12" s="26" t="b">
        <v>0</v>
      </c>
      <c r="F12" s="25" t="s">
        <v>74</v>
      </c>
    </row>
    <row r="13" spans="1:22">
      <c r="A13" s="25" t="s">
        <v>42</v>
      </c>
      <c r="B13" s="25" t="s">
        <v>134</v>
      </c>
      <c r="C13" s="25" t="s">
        <v>135</v>
      </c>
      <c r="D13" s="25" t="s">
        <v>136</v>
      </c>
      <c r="E13" s="26" t="b">
        <v>1</v>
      </c>
      <c r="F13" s="25" t="s">
        <v>125</v>
      </c>
    </row>
    <row r="14" spans="1:22">
      <c r="A14" s="25" t="s">
        <v>42</v>
      </c>
      <c r="B14" s="25" t="s">
        <v>143</v>
      </c>
      <c r="C14" s="25" t="s">
        <v>144</v>
      </c>
      <c r="D14" s="25" t="s">
        <v>136</v>
      </c>
      <c r="E14" s="26" t="b">
        <v>1</v>
      </c>
      <c r="F14" s="25" t="s">
        <v>133</v>
      </c>
    </row>
    <row r="15" spans="1:22">
      <c r="A15" s="25" t="s">
        <v>42</v>
      </c>
      <c r="B15" s="25" t="s">
        <v>149</v>
      </c>
      <c r="C15" s="25" t="s">
        <v>150</v>
      </c>
      <c r="D15" s="25" t="s">
        <v>136</v>
      </c>
      <c r="E15" s="26" t="b">
        <v>1</v>
      </c>
      <c r="F15" s="25" t="s">
        <v>142</v>
      </c>
    </row>
    <row r="16" spans="1:22">
      <c r="A16" s="25" t="s">
        <v>42</v>
      </c>
      <c r="B16" s="25" t="s">
        <v>147</v>
      </c>
      <c r="C16" s="25" t="s">
        <v>154</v>
      </c>
      <c r="D16" s="25" t="s">
        <v>136</v>
      </c>
      <c r="E16" s="26" t="b">
        <v>1</v>
      </c>
      <c r="F16" s="25" t="s">
        <v>148</v>
      </c>
    </row>
    <row r="17" spans="1:6">
      <c r="A17" s="25" t="s">
        <v>42</v>
      </c>
      <c r="B17" s="25" t="s">
        <v>157</v>
      </c>
      <c r="C17" s="25" t="s">
        <v>158</v>
      </c>
      <c r="D17" s="25" t="s">
        <v>136</v>
      </c>
      <c r="E17" s="26" t="b">
        <v>0</v>
      </c>
      <c r="F17" s="25" t="s">
        <v>74</v>
      </c>
    </row>
    <row r="18" spans="1:6">
      <c r="A18" s="25" t="s">
        <v>42</v>
      </c>
      <c r="B18" s="25" t="s">
        <v>156</v>
      </c>
      <c r="C18" s="25" t="s">
        <v>161</v>
      </c>
      <c r="D18" s="25" t="s">
        <v>136</v>
      </c>
      <c r="E18" s="26" t="b">
        <v>0</v>
      </c>
      <c r="F18" s="25" t="s">
        <v>74</v>
      </c>
    </row>
    <row r="19" spans="1:6">
      <c r="A19" s="25" t="s">
        <v>42</v>
      </c>
      <c r="B19" s="25" t="s">
        <v>167</v>
      </c>
      <c r="C19" s="25" t="s">
        <v>168</v>
      </c>
      <c r="D19" s="25" t="s">
        <v>136</v>
      </c>
      <c r="E19" s="26" t="b">
        <v>0</v>
      </c>
      <c r="F19" s="25" t="s">
        <v>74</v>
      </c>
    </row>
    <row r="20" spans="1:6">
      <c r="A20" s="25" t="s">
        <v>42</v>
      </c>
      <c r="B20" s="25" t="s">
        <v>171</v>
      </c>
      <c r="C20" s="25" t="s">
        <v>172</v>
      </c>
      <c r="D20" s="25" t="s">
        <v>136</v>
      </c>
      <c r="E20" s="26" t="b">
        <v>0</v>
      </c>
      <c r="F20" s="25" t="s">
        <v>74</v>
      </c>
    </row>
    <row r="21" spans="1:6">
      <c r="A21" s="25" t="s">
        <v>66</v>
      </c>
      <c r="B21" s="25" t="s">
        <v>134</v>
      </c>
      <c r="C21" s="25" t="s">
        <v>135</v>
      </c>
      <c r="D21" s="25" t="s">
        <v>136</v>
      </c>
      <c r="E21" s="26" t="b">
        <v>1</v>
      </c>
      <c r="F21" s="25" t="s">
        <v>125</v>
      </c>
    </row>
    <row r="22" spans="1:6">
      <c r="A22" s="25" t="s">
        <v>66</v>
      </c>
      <c r="B22" s="25" t="s">
        <v>143</v>
      </c>
      <c r="C22" s="25" t="s">
        <v>144</v>
      </c>
      <c r="D22" s="25" t="s">
        <v>136</v>
      </c>
      <c r="E22" s="26" t="b">
        <v>1</v>
      </c>
      <c r="F22" s="25" t="s">
        <v>133</v>
      </c>
    </row>
    <row r="23" spans="1:6">
      <c r="A23" s="25" t="s">
        <v>66</v>
      </c>
      <c r="B23" s="25" t="s">
        <v>149</v>
      </c>
      <c r="C23" s="25" t="s">
        <v>150</v>
      </c>
      <c r="D23" s="25" t="s">
        <v>136</v>
      </c>
      <c r="E23" s="26" t="b">
        <v>1</v>
      </c>
      <c r="F23" s="25" t="s">
        <v>142</v>
      </c>
    </row>
    <row r="24" spans="1:6">
      <c r="A24" s="25" t="s">
        <v>66</v>
      </c>
      <c r="B24" s="25" t="s">
        <v>147</v>
      </c>
      <c r="C24" s="25" t="s">
        <v>154</v>
      </c>
      <c r="D24" s="25" t="s">
        <v>136</v>
      </c>
      <c r="E24" s="26" t="b">
        <v>1</v>
      </c>
      <c r="F24" s="25" t="s">
        <v>148</v>
      </c>
    </row>
    <row r="25" spans="1:6">
      <c r="A25" s="25" t="s">
        <v>66</v>
      </c>
      <c r="B25" s="25" t="s">
        <v>157</v>
      </c>
      <c r="C25" s="25" t="s">
        <v>158</v>
      </c>
      <c r="D25" s="25" t="s">
        <v>136</v>
      </c>
      <c r="E25" s="26" t="b">
        <v>0</v>
      </c>
      <c r="F25" s="25" t="s">
        <v>74</v>
      </c>
    </row>
    <row r="26" spans="1:6">
      <c r="A26" s="25" t="s">
        <v>66</v>
      </c>
      <c r="B26" s="25" t="s">
        <v>156</v>
      </c>
      <c r="C26" s="25" t="s">
        <v>161</v>
      </c>
      <c r="D26" s="25" t="s">
        <v>136</v>
      </c>
      <c r="E26" s="26" t="b">
        <v>0</v>
      </c>
      <c r="F26" s="25" t="s">
        <v>74</v>
      </c>
    </row>
    <row r="27" spans="1:6">
      <c r="A27" s="25" t="s">
        <v>66</v>
      </c>
      <c r="B27" s="25" t="s">
        <v>167</v>
      </c>
      <c r="C27" s="25" t="s">
        <v>168</v>
      </c>
      <c r="D27" s="25" t="s">
        <v>136</v>
      </c>
      <c r="E27" s="26" t="b">
        <v>0</v>
      </c>
      <c r="F27" s="25" t="s">
        <v>74</v>
      </c>
    </row>
    <row r="28" spans="1:6">
      <c r="A28" s="25" t="s">
        <v>66</v>
      </c>
      <c r="B28" s="25" t="s">
        <v>171</v>
      </c>
      <c r="C28" s="25" t="s">
        <v>172</v>
      </c>
      <c r="D28" s="25" t="s">
        <v>136</v>
      </c>
      <c r="E28" s="26" t="b">
        <v>0</v>
      </c>
      <c r="F28" s="25" t="s">
        <v>74</v>
      </c>
    </row>
    <row r="29" spans="1:6">
      <c r="A29" s="25" t="s">
        <v>71</v>
      </c>
      <c r="B29" s="25" t="s">
        <v>134</v>
      </c>
      <c r="C29" s="25" t="s">
        <v>135</v>
      </c>
      <c r="D29" s="25" t="s">
        <v>136</v>
      </c>
      <c r="E29" s="26" t="b">
        <v>1</v>
      </c>
      <c r="F29" s="25" t="s">
        <v>125</v>
      </c>
    </row>
    <row r="30" spans="1:6">
      <c r="A30" s="25" t="s">
        <v>71</v>
      </c>
      <c r="B30" s="25" t="s">
        <v>143</v>
      </c>
      <c r="C30" s="25" t="s">
        <v>144</v>
      </c>
      <c r="D30" s="25" t="s">
        <v>136</v>
      </c>
      <c r="E30" s="26" t="b">
        <v>1</v>
      </c>
      <c r="F30" s="25" t="s">
        <v>133</v>
      </c>
    </row>
    <row r="31" spans="1:6">
      <c r="A31" s="25" t="s">
        <v>71</v>
      </c>
      <c r="B31" s="25" t="s">
        <v>149</v>
      </c>
      <c r="C31" s="25" t="s">
        <v>150</v>
      </c>
      <c r="D31" s="25" t="s">
        <v>136</v>
      </c>
      <c r="E31" s="26" t="b">
        <v>1</v>
      </c>
      <c r="F31" s="25" t="s">
        <v>142</v>
      </c>
    </row>
    <row r="32" spans="1:6">
      <c r="A32" s="25" t="s">
        <v>71</v>
      </c>
      <c r="B32" s="25" t="s">
        <v>147</v>
      </c>
      <c r="C32" s="25" t="s">
        <v>154</v>
      </c>
      <c r="D32" s="25" t="s">
        <v>136</v>
      </c>
      <c r="E32" s="26" t="b">
        <v>1</v>
      </c>
      <c r="F32" s="25" t="s">
        <v>148</v>
      </c>
    </row>
    <row r="33" spans="1:6">
      <c r="A33" s="25" t="s">
        <v>71</v>
      </c>
      <c r="B33" s="25" t="s">
        <v>157</v>
      </c>
      <c r="C33" s="25" t="s">
        <v>158</v>
      </c>
      <c r="D33" s="25" t="s">
        <v>136</v>
      </c>
      <c r="E33" s="26" t="b">
        <v>0</v>
      </c>
      <c r="F33" s="25" t="s">
        <v>74</v>
      </c>
    </row>
    <row r="34" spans="1:6">
      <c r="A34" s="25" t="s">
        <v>71</v>
      </c>
      <c r="B34" s="25" t="s">
        <v>156</v>
      </c>
      <c r="C34" s="25" t="s">
        <v>161</v>
      </c>
      <c r="D34" s="25" t="s">
        <v>136</v>
      </c>
      <c r="E34" s="26" t="b">
        <v>0</v>
      </c>
      <c r="F34" s="25" t="s">
        <v>74</v>
      </c>
    </row>
    <row r="35" spans="1:6">
      <c r="A35" s="25" t="s">
        <v>71</v>
      </c>
      <c r="B35" s="25" t="s">
        <v>167</v>
      </c>
      <c r="C35" s="25" t="s">
        <v>168</v>
      </c>
      <c r="D35" s="25" t="s">
        <v>136</v>
      </c>
      <c r="E35" s="26" t="b">
        <v>0</v>
      </c>
      <c r="F35" s="25" t="s">
        <v>74</v>
      </c>
    </row>
    <row r="36" spans="1:6">
      <c r="A36" s="25" t="s">
        <v>71</v>
      </c>
      <c r="B36" s="25" t="s">
        <v>171</v>
      </c>
      <c r="C36" s="25" t="s">
        <v>172</v>
      </c>
      <c r="D36" s="25" t="s">
        <v>136</v>
      </c>
      <c r="E36" s="26" t="b">
        <v>0</v>
      </c>
      <c r="F36" s="25" t="s">
        <v>74</v>
      </c>
    </row>
    <row r="37" spans="1:6">
      <c r="A37" s="25" t="s">
        <v>80</v>
      </c>
      <c r="B37" s="25" t="s">
        <v>134</v>
      </c>
      <c r="C37" s="25" t="s">
        <v>135</v>
      </c>
      <c r="D37" s="25" t="s">
        <v>136</v>
      </c>
      <c r="E37" s="26" t="b">
        <v>1</v>
      </c>
      <c r="F37" s="25" t="s">
        <v>125</v>
      </c>
    </row>
    <row r="38" spans="1:6">
      <c r="A38" s="25" t="s">
        <v>80</v>
      </c>
      <c r="B38" s="25" t="s">
        <v>143</v>
      </c>
      <c r="C38" s="25" t="s">
        <v>144</v>
      </c>
      <c r="D38" s="25" t="s">
        <v>136</v>
      </c>
      <c r="E38" s="26" t="b">
        <v>1</v>
      </c>
      <c r="F38" s="25" t="s">
        <v>133</v>
      </c>
    </row>
    <row r="39" spans="1:6">
      <c r="A39" s="25" t="s">
        <v>80</v>
      </c>
      <c r="B39" s="25" t="s">
        <v>149</v>
      </c>
      <c r="C39" s="25" t="s">
        <v>150</v>
      </c>
      <c r="D39" s="25" t="s">
        <v>136</v>
      </c>
      <c r="E39" s="26" t="b">
        <v>1</v>
      </c>
      <c r="F39" s="25" t="s">
        <v>142</v>
      </c>
    </row>
    <row r="40" spans="1:6">
      <c r="A40" s="25" t="s">
        <v>80</v>
      </c>
      <c r="B40" s="25" t="s">
        <v>147</v>
      </c>
      <c r="C40" s="25" t="s">
        <v>154</v>
      </c>
      <c r="D40" s="25" t="s">
        <v>136</v>
      </c>
      <c r="E40" s="26" t="b">
        <v>1</v>
      </c>
      <c r="F40" s="25" t="s">
        <v>148</v>
      </c>
    </row>
    <row r="41" spans="1:6">
      <c r="A41" s="25" t="s">
        <v>80</v>
      </c>
      <c r="B41" s="25" t="s">
        <v>157</v>
      </c>
      <c r="C41" s="25" t="s">
        <v>158</v>
      </c>
      <c r="D41" s="25" t="s">
        <v>136</v>
      </c>
      <c r="E41" s="26" t="b">
        <v>0</v>
      </c>
      <c r="F41" s="25" t="s">
        <v>74</v>
      </c>
    </row>
    <row r="42" spans="1:6">
      <c r="A42" s="25" t="s">
        <v>80</v>
      </c>
      <c r="B42" s="25" t="s">
        <v>156</v>
      </c>
      <c r="C42" s="25" t="s">
        <v>161</v>
      </c>
      <c r="D42" s="25" t="s">
        <v>136</v>
      </c>
      <c r="E42" s="26" t="b">
        <v>0</v>
      </c>
      <c r="F42" s="25" t="s">
        <v>74</v>
      </c>
    </row>
    <row r="43" spans="1:6">
      <c r="A43" s="25" t="s">
        <v>80</v>
      </c>
      <c r="B43" s="25" t="s">
        <v>167</v>
      </c>
      <c r="C43" s="25" t="s">
        <v>168</v>
      </c>
      <c r="D43" s="25" t="s">
        <v>136</v>
      </c>
      <c r="E43" s="26" t="b">
        <v>0</v>
      </c>
      <c r="F43" s="25" t="s">
        <v>74</v>
      </c>
    </row>
    <row r="44" spans="1:6">
      <c r="A44" s="25" t="s">
        <v>80</v>
      </c>
      <c r="B44" s="25" t="s">
        <v>171</v>
      </c>
      <c r="C44" s="25" t="s">
        <v>172</v>
      </c>
      <c r="D44" s="25" t="s">
        <v>136</v>
      </c>
      <c r="E44" s="26" t="b">
        <v>0</v>
      </c>
      <c r="F44" s="25" t="s">
        <v>74</v>
      </c>
    </row>
    <row r="45" spans="1:6">
      <c r="A45" s="25" t="s">
        <v>78</v>
      </c>
      <c r="B45" s="25" t="s">
        <v>134</v>
      </c>
      <c r="C45" s="25" t="s">
        <v>135</v>
      </c>
      <c r="D45" s="25" t="s">
        <v>136</v>
      </c>
      <c r="E45" s="26" t="b">
        <v>1</v>
      </c>
      <c r="F45" s="25" t="s">
        <v>125</v>
      </c>
    </row>
    <row r="46" spans="1:6">
      <c r="A46" s="25" t="s">
        <v>78</v>
      </c>
      <c r="B46" s="25" t="s">
        <v>143</v>
      </c>
      <c r="C46" s="25" t="s">
        <v>144</v>
      </c>
      <c r="D46" s="25" t="s">
        <v>136</v>
      </c>
      <c r="E46" s="26" t="b">
        <v>1</v>
      </c>
      <c r="F46" s="25" t="s">
        <v>133</v>
      </c>
    </row>
    <row r="47" spans="1:6">
      <c r="A47" s="25" t="s">
        <v>78</v>
      </c>
      <c r="B47" s="25" t="s">
        <v>149</v>
      </c>
      <c r="C47" s="25" t="s">
        <v>150</v>
      </c>
      <c r="D47" s="25" t="s">
        <v>136</v>
      </c>
      <c r="E47" s="26" t="b">
        <v>1</v>
      </c>
      <c r="F47" s="25" t="s">
        <v>142</v>
      </c>
    </row>
    <row r="48" spans="1:6">
      <c r="A48" s="25" t="s">
        <v>78</v>
      </c>
      <c r="B48" s="25" t="s">
        <v>147</v>
      </c>
      <c r="C48" s="25" t="s">
        <v>154</v>
      </c>
      <c r="D48" s="25" t="s">
        <v>136</v>
      </c>
      <c r="E48" s="26" t="b">
        <v>1</v>
      </c>
      <c r="F48" s="25" t="s">
        <v>148</v>
      </c>
    </row>
    <row r="49" spans="1:6">
      <c r="A49" s="25" t="s">
        <v>78</v>
      </c>
      <c r="B49" s="25" t="s">
        <v>157</v>
      </c>
      <c r="C49" s="25" t="s">
        <v>158</v>
      </c>
      <c r="D49" s="25" t="s">
        <v>136</v>
      </c>
      <c r="E49" s="26" t="b">
        <v>0</v>
      </c>
      <c r="F49" s="25" t="s">
        <v>74</v>
      </c>
    </row>
    <row r="50" spans="1:6">
      <c r="A50" s="25" t="s">
        <v>78</v>
      </c>
      <c r="B50" s="25" t="s">
        <v>156</v>
      </c>
      <c r="C50" s="25" t="s">
        <v>161</v>
      </c>
      <c r="D50" s="25" t="s">
        <v>136</v>
      </c>
      <c r="E50" s="26" t="b">
        <v>0</v>
      </c>
      <c r="F50" s="25" t="s">
        <v>74</v>
      </c>
    </row>
    <row r="51" spans="1:6">
      <c r="A51" s="25" t="s">
        <v>78</v>
      </c>
      <c r="B51" s="25" t="s">
        <v>167</v>
      </c>
      <c r="C51" s="25" t="s">
        <v>168</v>
      </c>
      <c r="D51" s="25" t="s">
        <v>136</v>
      </c>
      <c r="E51" s="26" t="b">
        <v>0</v>
      </c>
      <c r="F51" s="25" t="s">
        <v>74</v>
      </c>
    </row>
    <row r="52" spans="1:6">
      <c r="A52" s="25" t="s">
        <v>78</v>
      </c>
      <c r="B52" s="25" t="s">
        <v>171</v>
      </c>
      <c r="C52" s="25" t="s">
        <v>172</v>
      </c>
      <c r="D52" s="25" t="s">
        <v>136</v>
      </c>
      <c r="E52" s="26" t="b">
        <v>0</v>
      </c>
      <c r="F52" s="25" t="s">
        <v>74</v>
      </c>
    </row>
    <row r="53" spans="1:6">
      <c r="A53" s="25" t="s">
        <v>92</v>
      </c>
      <c r="B53" s="25" t="s">
        <v>134</v>
      </c>
      <c r="C53" s="25" t="s">
        <v>135</v>
      </c>
      <c r="D53" s="25" t="s">
        <v>136</v>
      </c>
      <c r="E53" s="26" t="b">
        <v>1</v>
      </c>
      <c r="F53" s="25" t="s">
        <v>125</v>
      </c>
    </row>
    <row r="54" spans="1:6">
      <c r="A54" s="25" t="s">
        <v>92</v>
      </c>
      <c r="B54" s="25" t="s">
        <v>143</v>
      </c>
      <c r="C54" s="25" t="s">
        <v>144</v>
      </c>
      <c r="D54" s="25" t="s">
        <v>136</v>
      </c>
      <c r="E54" s="26" t="b">
        <v>1</v>
      </c>
      <c r="F54" s="25" t="s">
        <v>133</v>
      </c>
    </row>
    <row r="55" spans="1:6">
      <c r="A55" s="25" t="s">
        <v>92</v>
      </c>
      <c r="B55" s="25" t="s">
        <v>149</v>
      </c>
      <c r="C55" s="25" t="s">
        <v>150</v>
      </c>
      <c r="D55" s="25" t="s">
        <v>136</v>
      </c>
      <c r="E55" s="26" t="b">
        <v>1</v>
      </c>
      <c r="F55" s="25" t="s">
        <v>142</v>
      </c>
    </row>
    <row r="56" spans="1:6">
      <c r="A56" s="25" t="s">
        <v>92</v>
      </c>
      <c r="B56" s="25" t="s">
        <v>147</v>
      </c>
      <c r="C56" s="25" t="s">
        <v>154</v>
      </c>
      <c r="D56" s="25" t="s">
        <v>136</v>
      </c>
      <c r="E56" s="26" t="b">
        <v>1</v>
      </c>
      <c r="F56" s="25" t="s">
        <v>148</v>
      </c>
    </row>
    <row r="57" spans="1:6">
      <c r="A57" s="25" t="s">
        <v>92</v>
      </c>
      <c r="B57" s="25" t="s">
        <v>157</v>
      </c>
      <c r="C57" s="25" t="s">
        <v>158</v>
      </c>
      <c r="D57" s="25" t="s">
        <v>136</v>
      </c>
      <c r="E57" s="26" t="b">
        <v>0</v>
      </c>
      <c r="F57" s="25" t="s">
        <v>74</v>
      </c>
    </row>
    <row r="58" spans="1:6">
      <c r="A58" s="25" t="s">
        <v>92</v>
      </c>
      <c r="B58" s="25" t="s">
        <v>156</v>
      </c>
      <c r="C58" s="25" t="s">
        <v>161</v>
      </c>
      <c r="D58" s="25" t="s">
        <v>136</v>
      </c>
      <c r="E58" s="26" t="b">
        <v>0</v>
      </c>
      <c r="F58" s="25" t="s">
        <v>74</v>
      </c>
    </row>
    <row r="59" spans="1:6">
      <c r="A59" s="25" t="s">
        <v>92</v>
      </c>
      <c r="B59" s="25" t="s">
        <v>167</v>
      </c>
      <c r="C59" s="25" t="s">
        <v>168</v>
      </c>
      <c r="D59" s="25" t="s">
        <v>136</v>
      </c>
      <c r="E59" s="26" t="b">
        <v>0</v>
      </c>
      <c r="F59" s="25" t="s">
        <v>74</v>
      </c>
    </row>
    <row r="60" spans="1:6">
      <c r="A60" s="25" t="s">
        <v>92</v>
      </c>
      <c r="B60" s="25" t="s">
        <v>171</v>
      </c>
      <c r="C60" s="25" t="s">
        <v>172</v>
      </c>
      <c r="D60" s="25" t="s">
        <v>136</v>
      </c>
      <c r="E60" s="26" t="b">
        <v>0</v>
      </c>
      <c r="F60" s="25" t="s">
        <v>74</v>
      </c>
    </row>
    <row r="61" spans="1:6">
      <c r="A61" s="25" t="s">
        <v>97</v>
      </c>
      <c r="B61" s="25" t="s">
        <v>134</v>
      </c>
      <c r="C61" s="25" t="s">
        <v>135</v>
      </c>
      <c r="D61" s="25" t="s">
        <v>136</v>
      </c>
      <c r="E61" s="26" t="b">
        <v>1</v>
      </c>
      <c r="F61" s="25" t="s">
        <v>125</v>
      </c>
    </row>
    <row r="62" spans="1:6">
      <c r="A62" s="25" t="s">
        <v>97</v>
      </c>
      <c r="B62" s="25" t="s">
        <v>143</v>
      </c>
      <c r="C62" s="25" t="s">
        <v>144</v>
      </c>
      <c r="D62" s="25" t="s">
        <v>136</v>
      </c>
      <c r="E62" s="26" t="b">
        <v>1</v>
      </c>
      <c r="F62" s="25" t="s">
        <v>133</v>
      </c>
    </row>
    <row r="63" spans="1:6">
      <c r="A63" s="25" t="s">
        <v>97</v>
      </c>
      <c r="B63" s="25" t="s">
        <v>149</v>
      </c>
      <c r="C63" s="25" t="s">
        <v>150</v>
      </c>
      <c r="D63" s="25" t="s">
        <v>136</v>
      </c>
      <c r="E63" s="26" t="b">
        <v>1</v>
      </c>
      <c r="F63" s="25" t="s">
        <v>142</v>
      </c>
    </row>
    <row r="64" spans="1:6">
      <c r="A64" s="25" t="s">
        <v>97</v>
      </c>
      <c r="B64" s="25" t="s">
        <v>147</v>
      </c>
      <c r="C64" s="25" t="s">
        <v>154</v>
      </c>
      <c r="D64" s="25" t="s">
        <v>136</v>
      </c>
      <c r="E64" s="26" t="b">
        <v>1</v>
      </c>
      <c r="F64" s="25" t="s">
        <v>148</v>
      </c>
    </row>
    <row r="65" spans="1:6">
      <c r="A65" s="25" t="s">
        <v>97</v>
      </c>
      <c r="B65" s="25" t="s">
        <v>157</v>
      </c>
      <c r="C65" s="25" t="s">
        <v>158</v>
      </c>
      <c r="D65" s="25" t="s">
        <v>136</v>
      </c>
      <c r="E65" s="26" t="b">
        <v>0</v>
      </c>
      <c r="F65" s="25" t="s">
        <v>74</v>
      </c>
    </row>
    <row r="66" spans="1:6">
      <c r="A66" s="25" t="s">
        <v>97</v>
      </c>
      <c r="B66" s="25" t="s">
        <v>156</v>
      </c>
      <c r="C66" s="25" t="s">
        <v>161</v>
      </c>
      <c r="D66" s="25" t="s">
        <v>136</v>
      </c>
      <c r="E66" s="26" t="b">
        <v>0</v>
      </c>
      <c r="F66" s="25" t="s">
        <v>74</v>
      </c>
    </row>
    <row r="67" spans="1:6">
      <c r="A67" s="25" t="s">
        <v>97</v>
      </c>
      <c r="B67" s="25" t="s">
        <v>167</v>
      </c>
      <c r="C67" s="25" t="s">
        <v>168</v>
      </c>
      <c r="D67" s="25" t="s">
        <v>136</v>
      </c>
      <c r="E67" s="26" t="b">
        <v>0</v>
      </c>
      <c r="F67" s="25" t="s">
        <v>74</v>
      </c>
    </row>
    <row r="68" spans="1:6">
      <c r="A68" s="25" t="s">
        <v>97</v>
      </c>
      <c r="B68" s="25" t="s">
        <v>171</v>
      </c>
      <c r="C68" s="25" t="s">
        <v>172</v>
      </c>
      <c r="D68" s="25" t="s">
        <v>136</v>
      </c>
      <c r="E68" s="26" t="b">
        <v>0</v>
      </c>
      <c r="F68" s="25" t="s">
        <v>74</v>
      </c>
    </row>
  </sheetData>
  <mergeCells count="2">
    <mergeCell ref="A1:O1"/>
    <mergeCell ref="A2:O2"/>
  </mergeCells>
  <dataValidations count="1">
    <dataValidation type="list" sqref="E5:E68" xr:uid="{00000000-0002-0000-03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"/>
  <sheetViews>
    <sheetView showGridLines="0" workbookViewId="0">
      <selection sqref="A1:O1"/>
    </sheetView>
  </sheetViews>
  <sheetFormatPr defaultRowHeight="14.25"/>
  <cols>
    <col min="1" max="1" width="15" customWidth="1"/>
    <col min="2" max="2" width="18.75" customWidth="1"/>
    <col min="3" max="3" width="17.5" customWidth="1"/>
    <col min="4" max="4" width="18.75" customWidth="1"/>
    <col min="5" max="14" width="15" customWidth="1"/>
    <col min="15" max="15" width="17.5" customWidth="1"/>
    <col min="16" max="16" width="3" customWidth="1"/>
    <col min="17" max="22" width="15" customWidth="1"/>
  </cols>
  <sheetData>
    <row r="1" spans="1:22">
      <c r="A1" s="146" t="s">
        <v>258</v>
      </c>
      <c r="B1" s="146" t="s">
        <v>258</v>
      </c>
      <c r="C1" s="146" t="s">
        <v>258</v>
      </c>
      <c r="D1" s="146" t="s">
        <v>258</v>
      </c>
      <c r="E1" s="146" t="s">
        <v>258</v>
      </c>
      <c r="F1" s="146" t="s">
        <v>258</v>
      </c>
      <c r="G1" s="146" t="s">
        <v>258</v>
      </c>
      <c r="H1" s="146" t="s">
        <v>258</v>
      </c>
      <c r="I1" s="146" t="s">
        <v>258</v>
      </c>
      <c r="J1" s="146" t="s">
        <v>258</v>
      </c>
      <c r="K1" s="146" t="s">
        <v>258</v>
      </c>
      <c r="L1" s="146" t="s">
        <v>258</v>
      </c>
      <c r="M1" s="146" t="s">
        <v>258</v>
      </c>
      <c r="N1" s="146" t="s">
        <v>258</v>
      </c>
      <c r="O1" s="146" t="s">
        <v>258</v>
      </c>
      <c r="P1" s="23"/>
      <c r="Q1" s="23"/>
      <c r="R1" s="23"/>
      <c r="S1" s="23"/>
      <c r="T1" s="23"/>
      <c r="U1" s="23"/>
      <c r="V1" s="23"/>
    </row>
    <row r="2" spans="1:22" ht="16.5">
      <c r="A2" s="145" t="s">
        <v>259</v>
      </c>
      <c r="B2" s="145" t="s">
        <v>259</v>
      </c>
      <c r="C2" s="145" t="s">
        <v>259</v>
      </c>
      <c r="D2" s="145" t="s">
        <v>259</v>
      </c>
      <c r="E2" s="145" t="s">
        <v>259</v>
      </c>
      <c r="F2" s="145" t="s">
        <v>259</v>
      </c>
      <c r="G2" s="145" t="s">
        <v>259</v>
      </c>
      <c r="H2" s="145" t="s">
        <v>259</v>
      </c>
      <c r="I2" s="145" t="s">
        <v>259</v>
      </c>
      <c r="J2" s="145" t="s">
        <v>259</v>
      </c>
      <c r="K2" s="145" t="s">
        <v>259</v>
      </c>
      <c r="L2" s="145" t="s">
        <v>259</v>
      </c>
      <c r="M2" s="145" t="s">
        <v>259</v>
      </c>
      <c r="N2" s="145" t="s">
        <v>259</v>
      </c>
      <c r="O2" s="145" t="s">
        <v>259</v>
      </c>
      <c r="P2" s="22"/>
      <c r="Q2" s="22"/>
      <c r="R2" s="22"/>
      <c r="S2" s="22"/>
      <c r="T2" s="22"/>
      <c r="U2" s="22"/>
      <c r="V2" s="22"/>
    </row>
    <row r="4" spans="1:22" ht="15">
      <c r="A4" s="36" t="s">
        <v>260</v>
      </c>
      <c r="B4" s="36" t="s">
        <v>11</v>
      </c>
      <c r="C4" s="36" t="s">
        <v>12</v>
      </c>
      <c r="D4" s="36" t="s">
        <v>261</v>
      </c>
      <c r="E4" s="36" t="s">
        <v>13</v>
      </c>
      <c r="F4" s="36" t="s">
        <v>45</v>
      </c>
      <c r="G4" s="36" t="s">
        <v>14</v>
      </c>
      <c r="H4" s="36" t="s">
        <v>262</v>
      </c>
    </row>
    <row r="5" spans="1:22" ht="28.5">
      <c r="A5" s="35">
        <v>1</v>
      </c>
      <c r="B5" s="35" t="s">
        <v>22</v>
      </c>
      <c r="C5" s="35" t="s">
        <v>23</v>
      </c>
      <c r="D5" s="35" t="s">
        <v>263</v>
      </c>
      <c r="E5" s="35" t="s">
        <v>24</v>
      </c>
      <c r="F5" s="35" t="s">
        <v>55</v>
      </c>
      <c r="G5" s="35" t="s">
        <v>25</v>
      </c>
      <c r="H5" s="35" t="s">
        <v>264</v>
      </c>
    </row>
    <row r="6" spans="1:22" ht="28.5">
      <c r="A6" s="35">
        <v>2</v>
      </c>
      <c r="B6" s="35" t="s">
        <v>26</v>
      </c>
      <c r="C6" s="35" t="s">
        <v>23</v>
      </c>
      <c r="D6" s="35" t="s">
        <v>265</v>
      </c>
      <c r="E6" s="35" t="s">
        <v>24</v>
      </c>
      <c r="F6" s="35" t="s">
        <v>55</v>
      </c>
      <c r="G6" s="35" t="s">
        <v>27</v>
      </c>
      <c r="H6" s="35" t="s">
        <v>266</v>
      </c>
    </row>
    <row r="7" spans="1:22" ht="28.5">
      <c r="A7" s="35">
        <v>3</v>
      </c>
      <c r="B7" s="35" t="s">
        <v>34</v>
      </c>
      <c r="C7" s="35" t="s">
        <v>23</v>
      </c>
      <c r="D7" s="35" t="s">
        <v>267</v>
      </c>
      <c r="E7" s="35" t="s">
        <v>24</v>
      </c>
      <c r="F7" s="35" t="s">
        <v>55</v>
      </c>
      <c r="G7" s="35" t="s">
        <v>35</v>
      </c>
      <c r="H7" s="35" t="s">
        <v>268</v>
      </c>
    </row>
    <row r="8" spans="1:22" ht="28.5">
      <c r="A8" s="35">
        <v>4</v>
      </c>
      <c r="B8" s="35" t="s">
        <v>37</v>
      </c>
      <c r="C8" s="35" t="s">
        <v>23</v>
      </c>
      <c r="D8" s="35" t="s">
        <v>269</v>
      </c>
      <c r="E8" s="35" t="s">
        <v>24</v>
      </c>
      <c r="F8" s="35" t="s">
        <v>55</v>
      </c>
      <c r="G8" s="35" t="s">
        <v>38</v>
      </c>
      <c r="H8" s="35" t="s">
        <v>270</v>
      </c>
    </row>
    <row r="9" spans="1:22" ht="28.5">
      <c r="A9" s="35">
        <v>5</v>
      </c>
      <c r="B9" s="35" t="s">
        <v>39</v>
      </c>
      <c r="C9" s="35" t="s">
        <v>23</v>
      </c>
      <c r="D9" s="35" t="s">
        <v>269</v>
      </c>
      <c r="E9" s="35" t="s">
        <v>24</v>
      </c>
      <c r="F9" s="35" t="s">
        <v>55</v>
      </c>
      <c r="G9" s="35" t="s">
        <v>40</v>
      </c>
      <c r="H9" s="35" t="s">
        <v>270</v>
      </c>
    </row>
    <row r="10" spans="1:22" ht="28.5">
      <c r="A10" s="35">
        <v>6</v>
      </c>
      <c r="B10" s="35" t="s">
        <v>41</v>
      </c>
      <c r="C10" s="35" t="s">
        <v>23</v>
      </c>
      <c r="D10" s="35" t="s">
        <v>263</v>
      </c>
      <c r="E10" s="35" t="s">
        <v>42</v>
      </c>
      <c r="F10" s="35" t="s">
        <v>62</v>
      </c>
      <c r="G10" s="35" t="s">
        <v>25</v>
      </c>
      <c r="H10" s="35" t="s">
        <v>264</v>
      </c>
    </row>
    <row r="11" spans="1:22" ht="28.5">
      <c r="A11" s="35">
        <v>7</v>
      </c>
      <c r="B11" s="35" t="s">
        <v>53</v>
      </c>
      <c r="C11" s="35" t="s">
        <v>23</v>
      </c>
      <c r="D11" s="35" t="s">
        <v>267</v>
      </c>
      <c r="E11" s="35" t="s">
        <v>42</v>
      </c>
      <c r="F11" s="35" t="s">
        <v>62</v>
      </c>
      <c r="G11" s="35" t="s">
        <v>54</v>
      </c>
      <c r="H11" s="35" t="s">
        <v>271</v>
      </c>
    </row>
    <row r="12" spans="1:22" ht="28.5">
      <c r="A12" s="35">
        <v>8</v>
      </c>
      <c r="B12" s="35" t="s">
        <v>61</v>
      </c>
      <c r="C12" s="35" t="s">
        <v>23</v>
      </c>
      <c r="D12" s="35" t="s">
        <v>269</v>
      </c>
      <c r="E12" s="35" t="s">
        <v>42</v>
      </c>
      <c r="F12" s="35" t="s">
        <v>62</v>
      </c>
      <c r="G12" s="35" t="s">
        <v>40</v>
      </c>
      <c r="H12" s="35" t="s">
        <v>270</v>
      </c>
    </row>
    <row r="13" spans="1:22" ht="28.5">
      <c r="A13" s="35">
        <v>9</v>
      </c>
      <c r="B13" s="35" t="s">
        <v>65</v>
      </c>
      <c r="C13" s="35" t="s">
        <v>23</v>
      </c>
      <c r="D13" s="35" t="s">
        <v>263</v>
      </c>
      <c r="E13" s="35" t="s">
        <v>66</v>
      </c>
      <c r="F13" s="35" t="s">
        <v>68</v>
      </c>
      <c r="G13" s="35" t="s">
        <v>25</v>
      </c>
      <c r="H13" s="35" t="s">
        <v>264</v>
      </c>
    </row>
    <row r="14" spans="1:22" ht="28.5">
      <c r="A14" s="35">
        <v>10</v>
      </c>
      <c r="B14" s="35" t="s">
        <v>70</v>
      </c>
      <c r="C14" s="35" t="s">
        <v>23</v>
      </c>
      <c r="D14" s="35" t="s">
        <v>267</v>
      </c>
      <c r="E14" s="35" t="s">
        <v>66</v>
      </c>
      <c r="F14" s="35" t="s">
        <v>68</v>
      </c>
      <c r="G14" s="35" t="s">
        <v>54</v>
      </c>
      <c r="H14" s="35" t="s">
        <v>272</v>
      </c>
    </row>
    <row r="15" spans="1:22" ht="42.75">
      <c r="A15" s="35">
        <v>11</v>
      </c>
      <c r="B15" s="35" t="s">
        <v>76</v>
      </c>
      <c r="C15" s="35" t="s">
        <v>77</v>
      </c>
      <c r="D15" s="35" t="s">
        <v>267</v>
      </c>
      <c r="E15" s="35" t="s">
        <v>78</v>
      </c>
      <c r="F15" s="35" t="s">
        <v>87</v>
      </c>
      <c r="G15" s="35" t="s">
        <v>79</v>
      </c>
      <c r="H15" s="35" t="s">
        <v>273</v>
      </c>
    </row>
    <row r="16" spans="1:22" ht="28.5">
      <c r="A16" s="35">
        <v>12</v>
      </c>
      <c r="B16" s="35" t="s">
        <v>83</v>
      </c>
      <c r="C16" s="35" t="s">
        <v>84</v>
      </c>
      <c r="D16" s="35" t="s">
        <v>267</v>
      </c>
      <c r="E16" s="35" t="s">
        <v>71</v>
      </c>
      <c r="F16" s="35" t="s">
        <v>72</v>
      </c>
      <c r="G16" s="35" t="s">
        <v>85</v>
      </c>
      <c r="H16" s="35" t="s">
        <v>274</v>
      </c>
    </row>
    <row r="17" spans="1:8" ht="28.5">
      <c r="A17" s="35">
        <v>13</v>
      </c>
      <c r="B17" s="35" t="s">
        <v>83</v>
      </c>
      <c r="C17" s="35" t="s">
        <v>84</v>
      </c>
      <c r="D17" s="35" t="s">
        <v>275</v>
      </c>
      <c r="E17" s="35" t="s">
        <v>71</v>
      </c>
      <c r="F17" s="35" t="s">
        <v>72</v>
      </c>
      <c r="G17" s="35" t="s">
        <v>91</v>
      </c>
      <c r="H17" s="35" t="s">
        <v>276</v>
      </c>
    </row>
    <row r="18" spans="1:8" ht="28.5">
      <c r="A18" s="35">
        <v>14</v>
      </c>
      <c r="B18" s="35" t="s">
        <v>96</v>
      </c>
      <c r="C18" s="35" t="s">
        <v>23</v>
      </c>
      <c r="D18" s="35" t="s">
        <v>263</v>
      </c>
      <c r="E18" s="35" t="s">
        <v>80</v>
      </c>
      <c r="F18" s="35" t="s">
        <v>81</v>
      </c>
      <c r="G18" s="35" t="s">
        <v>25</v>
      </c>
      <c r="H18" s="35" t="s">
        <v>264</v>
      </c>
    </row>
    <row r="19" spans="1:8" ht="28.5">
      <c r="A19" s="35">
        <v>15</v>
      </c>
      <c r="B19" s="35" t="s">
        <v>100</v>
      </c>
      <c r="C19" s="35" t="s">
        <v>23</v>
      </c>
      <c r="D19" s="35" t="s">
        <v>267</v>
      </c>
      <c r="E19" s="35" t="s">
        <v>80</v>
      </c>
      <c r="F19" s="35" t="s">
        <v>81</v>
      </c>
      <c r="G19" s="35" t="s">
        <v>54</v>
      </c>
      <c r="H19" s="35" t="s">
        <v>277</v>
      </c>
    </row>
  </sheetData>
  <mergeCells count="2">
    <mergeCell ref="A1:O1"/>
    <mergeCell ref="A2:O2"/>
  </mergeCells>
  <dataValidations count="1">
    <dataValidation type="list" sqref="C5:C19" xr:uid="{00000000-0002-0000-0400-000000000000}">
      <formula1>"INFO,WARN,ERROR"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"/>
  <sheetViews>
    <sheetView showGridLines="0" workbookViewId="0">
      <selection sqref="A1:O1"/>
    </sheetView>
  </sheetViews>
  <sheetFormatPr defaultRowHeight="14.25"/>
  <cols>
    <col min="1" max="1" width="15" customWidth="1"/>
    <col min="2" max="2" width="18.75" customWidth="1"/>
    <col min="3" max="3" width="17.5" customWidth="1"/>
    <col min="4" max="4" width="18.75" customWidth="1"/>
    <col min="5" max="14" width="15" customWidth="1"/>
    <col min="15" max="15" width="17.5" customWidth="1"/>
    <col min="16" max="16" width="3" customWidth="1"/>
    <col min="17" max="22" width="15" customWidth="1"/>
  </cols>
  <sheetData>
    <row r="1" spans="1:22">
      <c r="A1" s="146" t="s">
        <v>278</v>
      </c>
      <c r="B1" s="146" t="s">
        <v>278</v>
      </c>
      <c r="C1" s="146" t="s">
        <v>278</v>
      </c>
      <c r="D1" s="146" t="s">
        <v>278</v>
      </c>
      <c r="E1" s="146" t="s">
        <v>278</v>
      </c>
      <c r="F1" s="146" t="s">
        <v>278</v>
      </c>
      <c r="G1" s="146" t="s">
        <v>278</v>
      </c>
      <c r="H1" s="146" t="s">
        <v>278</v>
      </c>
      <c r="I1" s="146" t="s">
        <v>278</v>
      </c>
      <c r="J1" s="146" t="s">
        <v>278</v>
      </c>
      <c r="K1" s="146" t="s">
        <v>278</v>
      </c>
      <c r="L1" s="146" t="s">
        <v>278</v>
      </c>
      <c r="M1" s="146" t="s">
        <v>278</v>
      </c>
      <c r="N1" s="146" t="s">
        <v>278</v>
      </c>
      <c r="O1" s="146" t="s">
        <v>278</v>
      </c>
      <c r="P1" s="23"/>
      <c r="Q1" s="23"/>
      <c r="R1" s="23"/>
      <c r="S1" s="23"/>
      <c r="T1" s="23"/>
      <c r="U1" s="23"/>
      <c r="V1" s="23"/>
    </row>
    <row r="2" spans="1:22" ht="16.5">
      <c r="A2" s="145" t="s">
        <v>279</v>
      </c>
      <c r="B2" s="145" t="s">
        <v>279</v>
      </c>
      <c r="C2" s="145" t="s">
        <v>279</v>
      </c>
      <c r="D2" s="145" t="s">
        <v>279</v>
      </c>
      <c r="E2" s="145" t="s">
        <v>279</v>
      </c>
      <c r="F2" s="145" t="s">
        <v>279</v>
      </c>
      <c r="G2" s="145" t="s">
        <v>279</v>
      </c>
      <c r="H2" s="145" t="s">
        <v>279</v>
      </c>
      <c r="I2" s="145" t="s">
        <v>279</v>
      </c>
      <c r="J2" s="145" t="s">
        <v>279</v>
      </c>
      <c r="K2" s="145" t="s">
        <v>279</v>
      </c>
      <c r="L2" s="145" t="s">
        <v>279</v>
      </c>
      <c r="M2" s="145" t="s">
        <v>279</v>
      </c>
      <c r="N2" s="145" t="s">
        <v>279</v>
      </c>
      <c r="O2" s="145" t="s">
        <v>279</v>
      </c>
      <c r="P2" s="22"/>
      <c r="Q2" s="22"/>
      <c r="R2" s="22"/>
      <c r="S2" s="22"/>
      <c r="T2" s="22"/>
      <c r="U2" s="22"/>
      <c r="V2" s="22"/>
    </row>
    <row r="4" spans="1:22" ht="15">
      <c r="A4" s="36" t="s">
        <v>280</v>
      </c>
      <c r="B4" s="36" t="s">
        <v>11</v>
      </c>
      <c r="C4" s="36" t="s">
        <v>13</v>
      </c>
      <c r="D4" s="36" t="s">
        <v>45</v>
      </c>
      <c r="E4" s="36" t="s">
        <v>281</v>
      </c>
      <c r="F4" s="36" t="s">
        <v>282</v>
      </c>
      <c r="G4" s="36" t="s">
        <v>51</v>
      </c>
      <c r="H4" s="36" t="s">
        <v>283</v>
      </c>
    </row>
    <row r="5" spans="1:22" ht="57">
      <c r="A5" s="35">
        <v>1</v>
      </c>
      <c r="B5" s="35" t="s">
        <v>138</v>
      </c>
      <c r="C5" s="35" t="s">
        <v>24</v>
      </c>
      <c r="D5" s="35" t="s">
        <v>55</v>
      </c>
      <c r="E5" s="35" t="s">
        <v>139</v>
      </c>
      <c r="F5" s="35" t="s">
        <v>284</v>
      </c>
      <c r="G5" s="35" t="s">
        <v>60</v>
      </c>
      <c r="H5" s="35"/>
    </row>
    <row r="6" spans="1:22" ht="57">
      <c r="A6" s="35">
        <v>2</v>
      </c>
      <c r="B6" s="35" t="s">
        <v>138</v>
      </c>
      <c r="C6" s="35" t="s">
        <v>24</v>
      </c>
      <c r="D6" s="35" t="s">
        <v>55</v>
      </c>
      <c r="E6" s="35" t="s">
        <v>145</v>
      </c>
      <c r="F6" s="35" t="s">
        <v>285</v>
      </c>
      <c r="G6" s="35" t="s">
        <v>60</v>
      </c>
      <c r="H6" s="35"/>
    </row>
    <row r="7" spans="1:22" ht="57">
      <c r="A7" s="35">
        <v>3</v>
      </c>
      <c r="B7" s="35" t="s">
        <v>138</v>
      </c>
      <c r="C7" s="35" t="s">
        <v>42</v>
      </c>
      <c r="D7" s="35" t="s">
        <v>62</v>
      </c>
      <c r="E7" s="35" t="s">
        <v>139</v>
      </c>
      <c r="F7" s="35" t="s">
        <v>286</v>
      </c>
      <c r="G7" s="35" t="s">
        <v>60</v>
      </c>
      <c r="H7" s="35"/>
    </row>
    <row r="8" spans="1:22" ht="57">
      <c r="A8" s="35">
        <v>4</v>
      </c>
      <c r="B8" s="35" t="s">
        <v>138</v>
      </c>
      <c r="C8" s="35" t="s">
        <v>42</v>
      </c>
      <c r="D8" s="35" t="s">
        <v>62</v>
      </c>
      <c r="E8" s="35" t="s">
        <v>145</v>
      </c>
      <c r="F8" s="35" t="s">
        <v>287</v>
      </c>
      <c r="G8" s="35" t="s">
        <v>60</v>
      </c>
      <c r="H8" s="35"/>
    </row>
    <row r="9" spans="1:22" ht="57">
      <c r="A9" s="35">
        <v>5</v>
      </c>
      <c r="B9" s="35" t="s">
        <v>138</v>
      </c>
      <c r="C9" s="35" t="s">
        <v>66</v>
      </c>
      <c r="D9" s="35" t="s">
        <v>68</v>
      </c>
      <c r="E9" s="35" t="s">
        <v>139</v>
      </c>
      <c r="F9" s="35" t="s">
        <v>288</v>
      </c>
      <c r="G9" s="35" t="s">
        <v>60</v>
      </c>
      <c r="H9" s="35"/>
    </row>
    <row r="10" spans="1:22" ht="57">
      <c r="A10" s="35">
        <v>6</v>
      </c>
      <c r="B10" s="35" t="s">
        <v>138</v>
      </c>
      <c r="C10" s="35" t="s">
        <v>66</v>
      </c>
      <c r="D10" s="35" t="s">
        <v>68</v>
      </c>
      <c r="E10" s="35" t="s">
        <v>164</v>
      </c>
      <c r="F10" s="35" t="s">
        <v>289</v>
      </c>
      <c r="G10" s="35" t="s">
        <v>60</v>
      </c>
      <c r="H10" s="35"/>
    </row>
    <row r="11" spans="1:22" ht="28.5">
      <c r="A11" s="35">
        <v>7</v>
      </c>
      <c r="B11" s="35" t="s">
        <v>169</v>
      </c>
      <c r="C11" s="35" t="s">
        <v>71</v>
      </c>
      <c r="D11" s="35" t="s">
        <v>72</v>
      </c>
      <c r="E11" s="35" t="s">
        <v>139</v>
      </c>
      <c r="F11" s="35"/>
      <c r="G11" s="35" t="s">
        <v>30</v>
      </c>
      <c r="H11" s="35" t="s">
        <v>85</v>
      </c>
    </row>
    <row r="12" spans="1:22" ht="57">
      <c r="A12" s="35">
        <v>8</v>
      </c>
      <c r="B12" s="35" t="s">
        <v>169</v>
      </c>
      <c r="C12" s="35" t="s">
        <v>80</v>
      </c>
      <c r="D12" s="35" t="s">
        <v>81</v>
      </c>
      <c r="E12" s="35" t="s">
        <v>139</v>
      </c>
      <c r="F12" s="35" t="s">
        <v>290</v>
      </c>
      <c r="G12" s="35" t="s">
        <v>60</v>
      </c>
      <c r="H12" s="35"/>
    </row>
    <row r="13" spans="1:22" ht="57">
      <c r="A13" s="35">
        <v>9</v>
      </c>
      <c r="B13" s="35" t="s">
        <v>169</v>
      </c>
      <c r="C13" s="35" t="s">
        <v>80</v>
      </c>
      <c r="D13" s="35" t="s">
        <v>81</v>
      </c>
      <c r="E13" s="35" t="s">
        <v>145</v>
      </c>
      <c r="F13" s="35" t="s">
        <v>291</v>
      </c>
      <c r="G13" s="35" t="s">
        <v>60</v>
      </c>
      <c r="H13" s="35"/>
    </row>
    <row r="14" spans="1:22" ht="57">
      <c r="A14" s="35">
        <v>10</v>
      </c>
      <c r="B14" s="35" t="s">
        <v>169</v>
      </c>
      <c r="C14" s="35" t="s">
        <v>78</v>
      </c>
      <c r="D14" s="35" t="s">
        <v>87</v>
      </c>
      <c r="E14" s="35" t="s">
        <v>139</v>
      </c>
      <c r="F14" s="35" t="s">
        <v>292</v>
      </c>
      <c r="G14" s="35" t="s">
        <v>90</v>
      </c>
      <c r="H14" s="35" t="s">
        <v>293</v>
      </c>
    </row>
  </sheetData>
  <mergeCells count="2">
    <mergeCell ref="A1:O1"/>
    <mergeCell ref="A2:O2"/>
  </mergeCells>
  <dataValidations count="2">
    <dataValidation type="list" sqref="E5:E14" xr:uid="{00000000-0002-0000-0500-000000000000}">
      <formula1>"PDF,XLSX,CSV"</formula1>
    </dataValidation>
    <dataValidation type="list" sqref="G5:G14" xr:uid="{00000000-0002-0000-0500-000001000000}">
      <formula1>"Success,Failed,Warning"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6"/>
  <sheetViews>
    <sheetView showGridLines="0" workbookViewId="0">
      <selection sqref="A1:O1"/>
    </sheetView>
  </sheetViews>
  <sheetFormatPr defaultRowHeight="14.25"/>
  <cols>
    <col min="1" max="1" width="15" customWidth="1"/>
    <col min="2" max="2" width="18.75" customWidth="1"/>
    <col min="3" max="3" width="17.5" customWidth="1"/>
    <col min="4" max="4" width="18.75" customWidth="1"/>
    <col min="5" max="14" width="15" customWidth="1"/>
    <col min="15" max="15" width="17.5" customWidth="1"/>
    <col min="16" max="16" width="3" customWidth="1"/>
    <col min="17" max="22" width="15" customWidth="1"/>
  </cols>
  <sheetData>
    <row r="1" spans="1:22">
      <c r="A1" s="146" t="s">
        <v>294</v>
      </c>
      <c r="B1" s="146" t="s">
        <v>294</v>
      </c>
      <c r="C1" s="146" t="s">
        <v>294</v>
      </c>
      <c r="D1" s="146" t="s">
        <v>294</v>
      </c>
      <c r="E1" s="146" t="s">
        <v>294</v>
      </c>
      <c r="F1" s="146" t="s">
        <v>294</v>
      </c>
      <c r="G1" s="146" t="s">
        <v>294</v>
      </c>
      <c r="H1" s="146" t="s">
        <v>294</v>
      </c>
      <c r="I1" s="146" t="s">
        <v>294</v>
      </c>
      <c r="J1" s="146" t="s">
        <v>294</v>
      </c>
      <c r="K1" s="146" t="s">
        <v>294</v>
      </c>
      <c r="L1" s="146" t="s">
        <v>294</v>
      </c>
      <c r="M1" s="146" t="s">
        <v>294</v>
      </c>
      <c r="N1" s="146" t="s">
        <v>294</v>
      </c>
      <c r="O1" s="146" t="s">
        <v>294</v>
      </c>
      <c r="P1" s="23"/>
      <c r="Q1" s="23"/>
      <c r="R1" s="23"/>
      <c r="S1" s="23"/>
      <c r="T1" s="23"/>
      <c r="U1" s="23"/>
      <c r="V1" s="23"/>
    </row>
    <row r="2" spans="1:22" ht="16.5">
      <c r="A2" s="145" t="s">
        <v>295</v>
      </c>
      <c r="B2" s="145" t="s">
        <v>295</v>
      </c>
      <c r="C2" s="145" t="s">
        <v>295</v>
      </c>
      <c r="D2" s="145" t="s">
        <v>295</v>
      </c>
      <c r="E2" s="145" t="s">
        <v>295</v>
      </c>
      <c r="F2" s="145" t="s">
        <v>295</v>
      </c>
      <c r="G2" s="145" t="s">
        <v>295</v>
      </c>
      <c r="H2" s="145" t="s">
        <v>295</v>
      </c>
      <c r="I2" s="145" t="s">
        <v>295</v>
      </c>
      <c r="J2" s="145" t="s">
        <v>295</v>
      </c>
      <c r="K2" s="145" t="s">
        <v>295</v>
      </c>
      <c r="L2" s="145" t="s">
        <v>295</v>
      </c>
      <c r="M2" s="145" t="s">
        <v>295</v>
      </c>
      <c r="N2" s="145" t="s">
        <v>295</v>
      </c>
      <c r="O2" s="145" t="s">
        <v>295</v>
      </c>
      <c r="P2" s="22"/>
      <c r="Q2" s="22"/>
      <c r="R2" s="22"/>
      <c r="S2" s="22"/>
      <c r="T2" s="22"/>
      <c r="U2" s="22"/>
      <c r="V2" s="22"/>
    </row>
    <row r="4" spans="1:22" ht="15">
      <c r="A4" s="36" t="s">
        <v>296</v>
      </c>
      <c r="B4" s="36" t="s">
        <v>297</v>
      </c>
      <c r="C4" s="36" t="s">
        <v>237</v>
      </c>
    </row>
    <row r="5" spans="1:22" ht="85.5">
      <c r="A5" s="35" t="s">
        <v>298</v>
      </c>
      <c r="B5" s="35" t="s">
        <v>299</v>
      </c>
      <c r="C5" s="35" t="s">
        <v>300</v>
      </c>
    </row>
    <row r="6" spans="1:22" ht="57">
      <c r="A6" s="35" t="s">
        <v>301</v>
      </c>
      <c r="B6" s="35" t="s">
        <v>302</v>
      </c>
      <c r="C6" s="35" t="s">
        <v>303</v>
      </c>
    </row>
    <row r="7" spans="1:22" ht="42.75">
      <c r="A7" s="35" t="s">
        <v>304</v>
      </c>
      <c r="B7" s="35" t="s">
        <v>24</v>
      </c>
      <c r="C7" s="35" t="s">
        <v>305</v>
      </c>
    </row>
    <row r="8" spans="1:22" ht="42.75">
      <c r="A8" s="35" t="s">
        <v>306</v>
      </c>
      <c r="B8" s="35" t="s">
        <v>299</v>
      </c>
      <c r="C8" s="35" t="s">
        <v>307</v>
      </c>
    </row>
    <row r="9" spans="1:22" ht="42.75">
      <c r="A9" s="35" t="s">
        <v>308</v>
      </c>
      <c r="B9" s="35" t="s">
        <v>299</v>
      </c>
      <c r="C9" s="35" t="s">
        <v>309</v>
      </c>
    </row>
    <row r="10" spans="1:22" ht="57">
      <c r="A10" s="35" t="s">
        <v>310</v>
      </c>
      <c r="B10" s="35" t="s">
        <v>311</v>
      </c>
      <c r="C10" s="35" t="s">
        <v>312</v>
      </c>
    </row>
    <row r="11" spans="1:22" ht="42.75">
      <c r="A11" s="35" t="s">
        <v>313</v>
      </c>
      <c r="B11" s="35" t="s">
        <v>299</v>
      </c>
      <c r="C11" s="35" t="s">
        <v>314</v>
      </c>
    </row>
    <row r="12" spans="1:22" ht="42.75">
      <c r="A12" s="35" t="s">
        <v>315</v>
      </c>
      <c r="B12" s="35" t="s">
        <v>316</v>
      </c>
      <c r="C12" s="35" t="s">
        <v>317</v>
      </c>
    </row>
    <row r="13" spans="1:22" ht="42.75">
      <c r="A13" s="35" t="s">
        <v>318</v>
      </c>
      <c r="B13" s="35" t="s">
        <v>319</v>
      </c>
      <c r="C13" s="35" t="s">
        <v>320</v>
      </c>
    </row>
    <row r="14" spans="1:22" ht="42.75">
      <c r="A14" s="35" t="s">
        <v>321</v>
      </c>
      <c r="B14" s="35" t="s">
        <v>322</v>
      </c>
      <c r="C14" s="35" t="s">
        <v>323</v>
      </c>
    </row>
    <row r="15" spans="1:22" ht="28.5">
      <c r="A15" s="35" t="s">
        <v>324</v>
      </c>
      <c r="B15" s="35" t="s">
        <v>183</v>
      </c>
      <c r="C15" s="35" t="s">
        <v>325</v>
      </c>
    </row>
    <row r="16" spans="1:22" ht="28.5">
      <c r="A16" s="35" t="s">
        <v>326</v>
      </c>
      <c r="B16" s="35" t="s">
        <v>186</v>
      </c>
      <c r="C16" s="35" t="s">
        <v>327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showGridLines="0" workbookViewId="0">
      <selection sqref="A1:G2"/>
    </sheetView>
  </sheetViews>
  <sheetFormatPr defaultRowHeight="14.25"/>
  <cols>
    <col min="1" max="1" width="5" customWidth="1"/>
    <col min="2" max="7" width="30" customWidth="1"/>
  </cols>
  <sheetData>
    <row r="1" spans="1:7">
      <c r="A1" s="147" t="s">
        <v>328</v>
      </c>
      <c r="B1" s="147" t="s">
        <v>328</v>
      </c>
      <c r="C1" s="147" t="s">
        <v>328</v>
      </c>
      <c r="D1" s="147" t="s">
        <v>328</v>
      </c>
      <c r="E1" s="147" t="s">
        <v>328</v>
      </c>
      <c r="F1" s="147" t="s">
        <v>328</v>
      </c>
      <c r="G1" s="147" t="s">
        <v>328</v>
      </c>
    </row>
    <row r="2" spans="1:7">
      <c r="A2" s="147" t="s">
        <v>328</v>
      </c>
      <c r="B2" s="147" t="s">
        <v>328</v>
      </c>
      <c r="C2" s="147" t="s">
        <v>328</v>
      </c>
      <c r="D2" s="147" t="s">
        <v>328</v>
      </c>
      <c r="E2" s="147" t="s">
        <v>328</v>
      </c>
      <c r="F2" s="147" t="s">
        <v>328</v>
      </c>
      <c r="G2" s="147" t="s">
        <v>328</v>
      </c>
    </row>
    <row r="3" spans="1:7" ht="15">
      <c r="A3" s="37"/>
      <c r="B3" s="37"/>
      <c r="C3" s="37"/>
      <c r="D3" s="37"/>
      <c r="E3" s="37"/>
      <c r="F3" s="37"/>
      <c r="G3" s="37"/>
    </row>
    <row r="4" spans="1:7" ht="57">
      <c r="A4" s="38" t="s">
        <v>329</v>
      </c>
      <c r="B4" s="39" t="s">
        <v>330</v>
      </c>
      <c r="C4" s="37"/>
      <c r="D4" s="37"/>
      <c r="E4" s="37"/>
      <c r="F4" s="37"/>
      <c r="G4" s="37"/>
    </row>
    <row r="5" spans="1:7" ht="57">
      <c r="A5" s="38" t="s">
        <v>331</v>
      </c>
      <c r="B5" s="39" t="s">
        <v>332</v>
      </c>
      <c r="C5" s="37"/>
      <c r="D5" s="37"/>
      <c r="E5" s="37"/>
      <c r="F5" s="37"/>
      <c r="G5" s="37"/>
    </row>
    <row r="6" spans="1:7" ht="42.75">
      <c r="A6" s="38" t="s">
        <v>333</v>
      </c>
      <c r="B6" s="39" t="s">
        <v>334</v>
      </c>
      <c r="C6" s="37"/>
      <c r="D6" s="37"/>
      <c r="E6" s="37"/>
      <c r="F6" s="37"/>
      <c r="G6" s="37"/>
    </row>
    <row r="7" spans="1:7" ht="57">
      <c r="A7" s="38" t="s">
        <v>335</v>
      </c>
      <c r="B7" s="39" t="s">
        <v>336</v>
      </c>
      <c r="C7" s="37"/>
      <c r="D7" s="37"/>
      <c r="E7" s="37"/>
      <c r="F7" s="37"/>
      <c r="G7" s="37"/>
    </row>
    <row r="8" spans="1:7" ht="57">
      <c r="A8" s="38" t="s">
        <v>0</v>
      </c>
      <c r="B8" s="39" t="s">
        <v>337</v>
      </c>
      <c r="C8" s="37"/>
      <c r="D8" s="37"/>
      <c r="E8" s="37"/>
      <c r="F8" s="37"/>
      <c r="G8" s="37"/>
    </row>
    <row r="9" spans="1:7" ht="57">
      <c r="A9" s="38" t="s">
        <v>338</v>
      </c>
      <c r="B9" s="39" t="s">
        <v>339</v>
      </c>
      <c r="C9" s="37"/>
      <c r="D9" s="37"/>
      <c r="E9" s="37"/>
      <c r="F9" s="37"/>
      <c r="G9" s="37"/>
    </row>
    <row r="10" spans="1:7" ht="57">
      <c r="A10" s="38" t="s">
        <v>340</v>
      </c>
      <c r="B10" s="39" t="s">
        <v>341</v>
      </c>
      <c r="C10" s="37"/>
      <c r="D10" s="37"/>
      <c r="E10" s="37"/>
      <c r="F10" s="37"/>
      <c r="G10" s="37"/>
    </row>
    <row r="11" spans="1:7" ht="15">
      <c r="A11" s="37"/>
      <c r="B11" s="37"/>
      <c r="C11" s="37"/>
      <c r="D11" s="37"/>
      <c r="E11" s="37"/>
      <c r="F11" s="37"/>
      <c r="G11" s="37"/>
    </row>
    <row r="12" spans="1:7" ht="15">
      <c r="A12" s="37"/>
      <c r="B12" s="37"/>
      <c r="C12" s="37"/>
      <c r="D12" s="37"/>
      <c r="E12" s="37"/>
      <c r="F12" s="37"/>
      <c r="G12" s="37"/>
    </row>
    <row r="13" spans="1:7" ht="15">
      <c r="A13" s="37"/>
      <c r="B13" s="37"/>
      <c r="C13" s="37"/>
      <c r="D13" s="37"/>
      <c r="E13" s="37"/>
      <c r="F13" s="37"/>
      <c r="G13" s="37"/>
    </row>
    <row r="14" spans="1:7" ht="15">
      <c r="A14" s="37"/>
      <c r="B14" s="37"/>
      <c r="C14" s="37"/>
      <c r="D14" s="37"/>
      <c r="E14" s="37"/>
      <c r="F14" s="37"/>
      <c r="G14" s="37"/>
    </row>
    <row r="15" spans="1:7" ht="15">
      <c r="A15" s="37"/>
      <c r="B15" s="37"/>
      <c r="C15" s="37"/>
      <c r="D15" s="37"/>
      <c r="E15" s="37"/>
      <c r="F15" s="37"/>
      <c r="G15" s="37"/>
    </row>
    <row r="16" spans="1:7" ht="15">
      <c r="A16" s="37"/>
      <c r="B16" s="37"/>
      <c r="C16" s="37"/>
      <c r="D16" s="37"/>
      <c r="E16" s="37"/>
      <c r="F16" s="37"/>
      <c r="G16" s="37"/>
    </row>
    <row r="17" spans="1:7" ht="15">
      <c r="A17" s="37"/>
      <c r="B17" s="37"/>
      <c r="C17" s="37"/>
      <c r="D17" s="37"/>
      <c r="E17" s="37"/>
      <c r="F17" s="37"/>
      <c r="G17" s="37"/>
    </row>
    <row r="18" spans="1:7" ht="15">
      <c r="A18" s="37"/>
      <c r="B18" s="37"/>
      <c r="C18" s="37"/>
      <c r="D18" s="37"/>
      <c r="E18" s="37"/>
      <c r="F18" s="37"/>
      <c r="G18" s="37"/>
    </row>
    <row r="19" spans="1:7" ht="15">
      <c r="A19" s="37"/>
      <c r="B19" s="37"/>
      <c r="C19" s="37"/>
      <c r="D19" s="37"/>
      <c r="E19" s="37"/>
      <c r="F19" s="37"/>
      <c r="G19" s="37"/>
    </row>
    <row r="20" spans="1:7" ht="15">
      <c r="A20" s="37"/>
      <c r="B20" s="37"/>
      <c r="C20" s="37"/>
      <c r="D20" s="37"/>
      <c r="E20" s="37"/>
      <c r="F20" s="37"/>
      <c r="G20" s="37"/>
    </row>
    <row r="21" spans="1:7" ht="15">
      <c r="A21" s="37"/>
      <c r="B21" s="37"/>
      <c r="C21" s="37"/>
      <c r="D21" s="37"/>
      <c r="E21" s="37"/>
      <c r="F21" s="37"/>
      <c r="G21" s="37"/>
    </row>
    <row r="22" spans="1:7" ht="15">
      <c r="A22" s="37"/>
      <c r="B22" s="37"/>
      <c r="C22" s="37"/>
      <c r="D22" s="37"/>
      <c r="E22" s="37"/>
      <c r="F22" s="37"/>
      <c r="G22" s="37"/>
    </row>
    <row r="23" spans="1:7" ht="15">
      <c r="A23" s="37"/>
      <c r="B23" s="37"/>
      <c r="C23" s="37"/>
      <c r="D23" s="37"/>
      <c r="E23" s="37"/>
      <c r="F23" s="37"/>
      <c r="G23" s="37"/>
    </row>
    <row r="24" spans="1:7" ht="15">
      <c r="A24" s="37"/>
      <c r="B24" s="37"/>
      <c r="C24" s="37"/>
      <c r="D24" s="37"/>
      <c r="E24" s="37"/>
      <c r="F24" s="37"/>
      <c r="G24" s="37"/>
    </row>
    <row r="25" spans="1:7" ht="15">
      <c r="A25" s="37"/>
      <c r="B25" s="37"/>
      <c r="C25" s="37"/>
      <c r="D25" s="37"/>
      <c r="E25" s="37"/>
      <c r="F25" s="37"/>
      <c r="G25" s="37"/>
    </row>
    <row r="26" spans="1:7" ht="15">
      <c r="A26" s="37"/>
      <c r="B26" s="37"/>
      <c r="C26" s="37"/>
      <c r="D26" s="37"/>
      <c r="E26" s="37"/>
      <c r="F26" s="37"/>
      <c r="G26" s="37"/>
    </row>
    <row r="27" spans="1:7" ht="15">
      <c r="A27" s="37"/>
      <c r="B27" s="37"/>
      <c r="C27" s="37"/>
      <c r="D27" s="37"/>
      <c r="E27" s="37"/>
      <c r="F27" s="37"/>
      <c r="G27" s="37"/>
    </row>
    <row r="28" spans="1:7" ht="15">
      <c r="A28" s="37"/>
      <c r="B28" s="37"/>
      <c r="C28" s="37"/>
      <c r="D28" s="37"/>
      <c r="E28" s="37"/>
      <c r="F28" s="37"/>
      <c r="G28" s="37"/>
    </row>
    <row r="29" spans="1:7" ht="15">
      <c r="A29" s="37"/>
      <c r="B29" s="37"/>
      <c r="C29" s="37"/>
      <c r="D29" s="37"/>
      <c r="E29" s="37"/>
      <c r="F29" s="37"/>
      <c r="G29" s="37"/>
    </row>
    <row r="30" spans="1:7" ht="15">
      <c r="A30" s="37"/>
      <c r="B30" s="37"/>
      <c r="C30" s="37"/>
      <c r="D30" s="37"/>
      <c r="E30" s="37"/>
      <c r="F30" s="37"/>
      <c r="G30" s="37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Control Center</vt:lpstr>
      <vt:lpstr>Config</vt:lpstr>
      <vt:lpstr>Report Inventory</vt:lpstr>
      <vt:lpstr>Parameters</vt:lpstr>
      <vt:lpstr>Prompt Mapping</vt:lpstr>
      <vt:lpstr>Run Log</vt:lpstr>
      <vt:lpstr>Export History</vt:lpstr>
      <vt:lpstr>Settings</vt:lpstr>
      <vt:lpstr>README</vt:lpstr>
      <vt:lpstr>Run_Status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Naadir Duglas</cp:lastModifiedBy>
  <dcterms:modified xsi:type="dcterms:W3CDTF">2026-07-09T22:54:27Z</dcterms:modified>
</cp:coreProperties>
</file>